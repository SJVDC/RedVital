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Tareas" sheetId="2" state="visible" r:id="rId4"/>
    <sheet name="Historias" sheetId="3" state="visible" r:id="rId5"/>
    <sheet name="Carga por persona" sheetId="4" state="visible" r:id="rId6"/>
    <sheet name="Entregables S10" sheetId="5" state="visible" r:id="rId7"/>
    <sheet name="Coul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<sst xmlns="http://schemas.openxmlformats.org/spreadsheetml/2006/main" count="2544" uniqueCount="664">
  <si>
    <t xml:space="preserve">RedVital — Tareas del Sprint 3</t>
  </si>
  <si>
    <t xml:space="preserve">Entrega</t>
  </si>
  <si>
    <t xml:space="preserve">Semana 10 — Review Sprint 3 y Planning Sprint 4 (alrededor del 13–14 de octubre de 2026)</t>
  </si>
  <si>
    <t xml:space="preserve">Fuente</t>
  </si>
  <si>
    <t xml:space="preserve">Backlog del Sprint 3 v1.2, con la historia de Identidad dividida en dos: HU-304 (inicio de sesión y claves públicas, 3 pts) y HU-330 (renovación, término, token de servicio y auditoría, 2 pts).</t>
  </si>
  <si>
    <t xml:space="preserve">Cómo usar</t>
  </si>
  <si>
    <t xml:space="preserve">Filtrar</t>
  </si>
  <si>
    <t xml:space="preserve">En la hoja Tareas, usa las flechas del encabezado: Responsable, Frente, Tipo, Entregable S10, Ruta crítica, Nivel o Estado.</t>
  </si>
  <si>
    <t xml:space="preserve">Celdas para editar</t>
  </si>
  <si>
    <t xml:space="preserve">Las de fondo amarillo claro: Estado (lista desplegable), Fecha inicio y Fecha fin en la hoja Tareas; y los dos supuestos en azul de la hoja Carga por persona.</t>
  </si>
  <si>
    <t xml:space="preserve">Formato de fecha</t>
  </si>
  <si>
    <t xml:space="preserve">dd/mm/aaaa, por ejemplo 05/10/2026. Si la fecha fin queda antes que la de inicio, se marca en rojo.</t>
  </si>
  <si>
    <t xml:space="preserve">Estados</t>
  </si>
  <si>
    <t xml:space="preserve">Pendiente · En curso (amarillo) · Bloqueada (rojo) · Hecha (verde). Las hojas Historias y Carga por persona recalculan el avance a partir del Estado.</t>
  </si>
  <si>
    <t xml:space="preserve">Columnas</t>
  </si>
  <si>
    <t xml:space="preserve">Depende de</t>
  </si>
  <si>
    <t xml:space="preserve">Tareas que deben estar terminadas para poder cerrar esta. Las tareas de pruebas se pueden empezar a escribir antes, contra el contrato publicado en T-301.5.</t>
  </si>
  <si>
    <t xml:space="preserve">Bloquea a</t>
  </si>
  <si>
    <t xml:space="preserve">Tareas que esperan a esta. Se generó a partir de «Depende de»; si cambias una dependencia, actualiza también esta columna.</t>
  </si>
  <si>
    <t xml:space="preserve">Nivel</t>
  </si>
  <si>
    <t xml:space="preserve">Longitud de la cadena de dependencias más larga que llega a la tarea. Nivel 0 = no depende de nada y puede empezar el primer día. Una tarea no puede empezar antes que todas sus dependencias, que siempre tienen un nivel menor. Sirve para ordenar al cuadrar fechas.</t>
  </si>
  <si>
    <t xml:space="preserve">Ruta crítica</t>
  </si>
  <si>
    <t xml:space="preserve">Sí cuando la historia está en una de las dos cadenas más largas: Contratos → Donación → Motor → Tamizaje → Inventario → QA → Informe → TD V1 → Presentación, y Contratos → Identidad → Gateway → QA.</t>
  </si>
  <si>
    <t xml:space="preserve">Tipo</t>
  </si>
  <si>
    <t xml:space="preserve">Código · Base de datos · Pruebas · Infraestructura · Diagrama · Documento · Gestión.</t>
  </si>
  <si>
    <t xml:space="preserve">Pts</t>
  </si>
  <si>
    <t xml:space="preserve">Los puntos viven en la hoja Historias; las tareas no se estiman.</t>
  </si>
  <si>
    <t xml:space="preserve">Tareas para agendar primero</t>
  </si>
  <si>
    <t xml:space="preserve">T-303.1</t>
  </si>
  <si>
    <t xml:space="preserve">Llave de prueba: desbloquea a Damián y a Tomás sin esperar a Identidad.</t>
  </si>
  <si>
    <t xml:space="preserve">T-304.1, T-306.1, T-312.1</t>
  </si>
  <si>
    <t xml:space="preserve">Esquemas de las tres bases: los necesita el generador de datos sintéticos (T-302.2).</t>
  </si>
  <si>
    <t xml:space="preserve">T-301.1 a T-301.5</t>
  </si>
  <si>
    <t xml:space="preserve">Contratos: casi todo el código y las pruebas dependen de ellos.</t>
  </si>
  <si>
    <t xml:space="preserve">T-322.3</t>
  </si>
  <si>
    <t xml:space="preserve">Resolver RDS-13 (ciclo de vencimiento): bloquea el proceso de vencimiento (T-311.1).</t>
  </si>
  <si>
    <t xml:space="preserve">T-314.1</t>
  </si>
  <si>
    <t xml:space="preserve">Confirmar la máquina de QA y su acceso externo (riesgo RT-02).</t>
  </si>
  <si>
    <t xml:space="preserve">T-323.1</t>
  </si>
  <si>
    <t xml:space="preserve">Diagrama de infraestructura nuevo: lo necesitan Infraestructura V2 y el despliegue C4.</t>
  </si>
  <si>
    <t xml:space="preserve">T-318.1 y T-319.1</t>
  </si>
  <si>
    <t xml:space="preserve">ADR-017 y ADR-018: su aprobación en Mesa desbloquea la terminología de todos los documentos.</t>
  </si>
  <si>
    <t xml:space="preserve">T-328.5</t>
  </si>
  <si>
    <t xml:space="preserve">Cargar historias y tareas en GitHub Projects.</t>
  </si>
  <si>
    <t xml:space="preserve">ID tarea</t>
  </si>
  <si>
    <t xml:space="preserve">Historia</t>
  </si>
  <si>
    <t xml:space="preserve">Título de la historia</t>
  </si>
  <si>
    <t xml:space="preserve">Frente</t>
  </si>
  <si>
    <t xml:space="preserve">Tarea</t>
  </si>
  <si>
    <t xml:space="preserve">Responsable</t>
  </si>
  <si>
    <t xml:space="preserve">Rol</t>
  </si>
  <si>
    <t xml:space="preserve">Componente</t>
  </si>
  <si>
    <t xml:space="preserve">Entregable S10</t>
  </si>
  <si>
    <t xml:space="preserve">MoSCoW</t>
  </si>
  <si>
    <t xml:space="preserve">Estado</t>
  </si>
  <si>
    <t xml:space="preserve">Fecha inicio</t>
  </si>
  <si>
    <t xml:space="preserve">Fecha fin</t>
  </si>
  <si>
    <t xml:space="preserve">Nota</t>
  </si>
  <si>
    <t xml:space="preserve">T-301.1</t>
  </si>
  <si>
    <t xml:space="preserve">HU-301</t>
  </si>
  <si>
    <t xml:space="preserve">Contratos OpenAPI del incremento publicados antes del código</t>
  </si>
  <si>
    <t xml:space="preserve">Contratos y datos de prueba</t>
  </si>
  <si>
    <t xml:space="preserve">Extraer del DD V2.0 las operaciones del incremento con sus errores y degradaciones</t>
  </si>
  <si>
    <t xml:space="preserve">Sara</t>
  </si>
  <si>
    <t xml:space="preserve">Arquitecta</t>
  </si>
  <si>
    <t xml:space="preserve">Documento</t>
  </si>
  <si>
    <t xml:space="preserve">Identidad, Donación, Campañas</t>
  </si>
  <si>
    <t xml:space="preserve">Incremento de valor</t>
  </si>
  <si>
    <t xml:space="preserve">Must</t>
  </si>
  <si>
    <t xml:space="preserve">Sí</t>
  </si>
  <si>
    <t xml:space="preserve">—</t>
  </si>
  <si>
    <t xml:space="preserve">T-301.2, T-301.3, T-301.4, T-302.1</t>
  </si>
  <si>
    <t xml:space="preserve">Pendiente</t>
  </si>
  <si>
    <t xml:space="preserve">T-301.2</t>
  </si>
  <si>
    <t xml:space="preserve">Escribir el OpenAPI de Identidad: sesión, renovación, término y claves públicas</t>
  </si>
  <si>
    <t xml:space="preserve">Código</t>
  </si>
  <si>
    <t xml:space="preserve">T-301.5, T-304.2</t>
  </si>
  <si>
    <t xml:space="preserve">T-301.3</t>
  </si>
  <si>
    <t xml:space="preserve">Escribir el OpenAPI de Donación: búsqueda de donante, donación, tamizaje, existencias, despacho, disposición y eventos</t>
  </si>
  <si>
    <t xml:space="preserve">T-301.5, T-306.2</t>
  </si>
  <si>
    <t xml:space="preserve">T-301.4</t>
  </si>
  <si>
    <t xml:space="preserve">Escribir el OpenAPI de Campañas: consulta, detalle, publicación y cierre</t>
  </si>
  <si>
    <t xml:space="preserve">T-301.5, T-306.4, T-312.2</t>
  </si>
  <si>
    <t xml:space="preserve">T-301.5</t>
  </si>
  <si>
    <t xml:space="preserve">Publicar los contratos en redvital-docs, enlazarlos desde cada repositorio y avisar a QA</t>
  </si>
  <si>
    <t xml:space="preserve">T-301.2, T-301.3, T-301.4</t>
  </si>
  <si>
    <t xml:space="preserve">T-305.1, T-313.3, T-315.3</t>
  </si>
  <si>
    <t xml:space="preserve">Desde aquí QA puede escribir pruebas contra el contrato</t>
  </si>
  <si>
    <t xml:space="preserve">T-302.1</t>
  </si>
  <si>
    <t xml:space="preserve">HU-302</t>
  </si>
  <si>
    <t xml:space="preserve">Datos sintéticos coherentes para las tres bases</t>
  </si>
  <si>
    <t xml:space="preserve">Definir el conjunto sintético: bancos, U3 y U4, donantes, campañas por estado y unidades por estado, incluidas vencidas y próximas a vencer</t>
  </si>
  <si>
    <t xml:space="preserve">Tomás</t>
  </si>
  <si>
    <t xml:space="preserve">QA / Tester</t>
  </si>
  <si>
    <t xml:space="preserve">Base de datos</t>
  </si>
  <si>
    <t xml:space="preserve">Bases de datos</t>
  </si>
  <si>
    <t xml:space="preserve">No</t>
  </si>
  <si>
    <t xml:space="preserve">T-302.2, T-325.2</t>
  </si>
  <si>
    <t xml:space="preserve">T-302.2</t>
  </si>
  <si>
    <t xml:space="preserve">Construir el generador versionado con una sola semilla para db_identidad, db_donacion y db_campana</t>
  </si>
  <si>
    <t xml:space="preserve">T-302.1, T-304.1, T-306.1, T-312.1</t>
  </si>
  <si>
    <t xml:space="preserve">T-302.3, T-311.3</t>
  </si>
  <si>
    <t xml:space="preserve">Necesita los esquemas de las tres bases</t>
  </si>
  <si>
    <t xml:space="preserve">T-302.3</t>
  </si>
  <si>
    <t xml:space="preserve">Integrar la carga de datos en los trabajos de migración de cada base</t>
  </si>
  <si>
    <t xml:space="preserve">T-302.4, T-314.3</t>
  </si>
  <si>
    <t xml:space="preserve">T-302.4</t>
  </si>
  <si>
    <t xml:space="preserve">Verificar identificadores coherentes entre bases y ausencia de causa clínica</t>
  </si>
  <si>
    <t xml:space="preserve">Pruebas</t>
  </si>
  <si>
    <t xml:space="preserve">HU-303</t>
  </si>
  <si>
    <t xml:space="preserve">Llave de prueba para firmar tokens en desarrollo y pruebas</t>
  </si>
  <si>
    <t xml:space="preserve">Generar el par de llaves de prueba y la utilidad que emite tokens U3, U4 y de servicio con las reivindicaciones de ADR-008</t>
  </si>
  <si>
    <t xml:space="preserve">Sebastián</t>
  </si>
  <si>
    <t xml:space="preserve">Desarrollador (.NET)</t>
  </si>
  <si>
    <t xml:space="preserve">Identidad</t>
  </si>
  <si>
    <t xml:space="preserve">T-303.2</t>
  </si>
  <si>
    <t xml:space="preserve">Desbloquea a Damián y a Tomás sin esperar a Identidad</t>
  </si>
  <si>
    <t xml:space="preserve">Cargar la llave solo en el perfil de desarrollo y en la suite; documentar su uso</t>
  </si>
  <si>
    <t xml:space="preserve">T-303.3, T-306.7, T-312.6, T-325.2</t>
  </si>
  <si>
    <t xml:space="preserve">T-303.3</t>
  </si>
  <si>
    <t xml:space="preserve">Prueba que confirma que la configuración de QA rechaza tokens de la llave de prueba</t>
  </si>
  <si>
    <t xml:space="preserve">T-303.2, T-305.2</t>
  </si>
  <si>
    <t xml:space="preserve">T-315.5</t>
  </si>
  <si>
    <t xml:space="preserve">T-304.1</t>
  </si>
  <si>
    <t xml:space="preserve">HU-304</t>
  </si>
  <si>
    <t xml:space="preserve">Identidad: inicio de sesión y claves públicas</t>
  </si>
  <si>
    <t xml:space="preserve">Base db_identidad: esquema del incremento, migraciones EF Core y roles de propietario y de servicio</t>
  </si>
  <si>
    <t xml:space="preserve">Servicio de Identidad + db_identidad</t>
  </si>
  <si>
    <t xml:space="preserve">T-302.2, T-304.2, T-330.4</t>
  </si>
  <si>
    <t xml:space="preserve">T-304.2</t>
  </si>
  <si>
    <t xml:space="preserve">Inicio de sesión: verificación de credenciales con respuesta que no distingue usuario de contraseña</t>
  </si>
  <si>
    <t xml:space="preserve">T-304.1, T-301.2</t>
  </si>
  <si>
    <t xml:space="preserve">T-304.3</t>
  </si>
  <si>
    <t xml:space="preserve">Emisión de token RS256 de 15 minutos con institución y ruta territorial, sin dato personal</t>
  </si>
  <si>
    <t xml:space="preserve">T-304.4, T-330.1, T-330.3</t>
  </si>
  <si>
    <t xml:space="preserve">T-304.4</t>
  </si>
  <si>
    <t xml:space="preserve">Endpoint de claves públicas (JWKS)</t>
  </si>
  <si>
    <t xml:space="preserve">T-304.5, T-305.2</t>
  </si>
  <si>
    <t xml:space="preserve">Primera entrega de Identidad: con esto el gateway ya valida tokens reales</t>
  </si>
  <si>
    <t xml:space="preserve">T-304.5</t>
  </si>
  <si>
    <t xml:space="preserve">Pruebas unitarias y de integración de sesión y claves públicas</t>
  </si>
  <si>
    <t xml:space="preserve">T-314.6</t>
  </si>
  <si>
    <t xml:space="preserve">T-330.1</t>
  </si>
  <si>
    <t xml:space="preserve">HU-330</t>
  </si>
  <si>
    <t xml:space="preserve">Identidad: renovación, término, token de servicio y auditoría</t>
  </si>
  <si>
    <t xml:space="preserve">Renovación con sesión de 8 horas y rotación de la credencial de renovación</t>
  </si>
  <si>
    <t xml:space="preserve">T-330.2</t>
  </si>
  <si>
    <t xml:space="preserve">Término de sesión que invalida la renovación</t>
  </si>
  <si>
    <t xml:space="preserve">T-330.5</t>
  </si>
  <si>
    <t xml:space="preserve">T-330.3</t>
  </si>
  <si>
    <t xml:space="preserve">Emisión del token de servicio de Donación</t>
  </si>
  <si>
    <t xml:space="preserve">T-330.4</t>
  </si>
  <si>
    <t xml:space="preserve">Serie de auditoría de Identidad y operación interna para registrar las denegaciones del gateway</t>
  </si>
  <si>
    <t xml:space="preserve">T-305.4, T-315.8, T-330.5</t>
  </si>
  <si>
    <t xml:space="preserve">Solo anexado por permisos del rol</t>
  </si>
  <si>
    <t xml:space="preserve">Pruebas de renovación, término, token de servicio y auditoría</t>
  </si>
  <si>
    <t xml:space="preserve">T-330.2, T-330.3, T-330.4</t>
  </si>
  <si>
    <t xml:space="preserve">T-314.6, T-315.5</t>
  </si>
  <si>
    <t xml:space="preserve">T-305.1</t>
  </si>
  <si>
    <t xml:space="preserve">HU-305</t>
  </si>
  <si>
    <t xml:space="preserve">Gateway: enrutamiento, validación del token y compuerta por rol</t>
  </si>
  <si>
    <t xml:space="preserve">API Gateway</t>
  </si>
  <si>
    <t xml:space="preserve">Rutas YARP /v1/* hacia Identidad, Donación y Campañas; excluir /internal/ y el puerto de gestión</t>
  </si>
  <si>
    <t xml:space="preserve">API Gateway (YARP)</t>
  </si>
  <si>
    <t xml:space="preserve">T-305.2, T-305.5</t>
  </si>
  <si>
    <t xml:space="preserve">T-305.2</t>
  </si>
  <si>
    <t xml:space="preserve">Validación de firma y vigencia del token contra el JWKS de Identidad</t>
  </si>
  <si>
    <t xml:space="preserve">T-305.1, T-304.4</t>
  </si>
  <si>
    <t xml:space="preserve">T-303.3, T-305.3, T-317.1</t>
  </si>
  <si>
    <t xml:space="preserve">T-305.3</t>
  </si>
  <si>
    <t xml:space="preserve">Compuerta por ruta y rol según la matriz del DD para las rutas del incremento</t>
  </si>
  <si>
    <t xml:space="preserve">T-305.4, T-305.6</t>
  </si>
  <si>
    <t xml:space="preserve">T-305.4</t>
  </si>
  <si>
    <t xml:space="preserve">Envío de las denegaciones a la serie de auditoría de Identidad</t>
  </si>
  <si>
    <t xml:space="preserve">T-305.3, T-330.4</t>
  </si>
  <si>
    <t xml:space="preserve">T-305.6</t>
  </si>
  <si>
    <t xml:space="preserve">T-305.5</t>
  </si>
  <si>
    <t xml:space="preserve">Generación y propagación del identificador de correlación</t>
  </si>
  <si>
    <t xml:space="preserve">Pruebas del gateway</t>
  </si>
  <si>
    <t xml:space="preserve">T-305.3, T-305.4, T-305.5</t>
  </si>
  <si>
    <t xml:space="preserve">T-314.6, T-315.4</t>
  </si>
  <si>
    <t xml:space="preserve">T-306.1</t>
  </si>
  <si>
    <t xml:space="preserve">HU-306</t>
  </si>
  <si>
    <t xml:space="preserve">Donación: registro de donación asociada a campaña, con degradación</t>
  </si>
  <si>
    <t xml:space="preserve">Donación</t>
  </si>
  <si>
    <t xml:space="preserve">Base db_donacion: esquema del incremento con Flyway, roles y tablas de solo anexado sin UPDATE ni DELETE para el rol de servicio</t>
  </si>
  <si>
    <t xml:space="preserve">Damián</t>
  </si>
  <si>
    <t xml:space="preserve">Desarrollador (Java)</t>
  </si>
  <si>
    <t xml:space="preserve">Servicio de Donación + db_donacion</t>
  </si>
  <si>
    <t xml:space="preserve">T-302.2, T-306.2, T-307.1</t>
  </si>
  <si>
    <t xml:space="preserve">T-306.2</t>
  </si>
  <si>
    <t xml:space="preserve">Búsqueda de donante sobre el conjunto sintético</t>
  </si>
  <si>
    <t xml:space="preserve">T-306.1, T-301.3</t>
  </si>
  <si>
    <t xml:space="preserve">T-306.3</t>
  </si>
  <si>
    <t xml:space="preserve">Registro de donación que genera la unidad resultante y su evento</t>
  </si>
  <si>
    <t xml:space="preserve">T-306.4, T-306.5, T-306.6, T-307.4</t>
  </si>
  <si>
    <t xml:space="preserve">T-306.4</t>
  </si>
  <si>
    <t xml:space="preserve">Adaptador hacia Campañas con plazo de 3 s y resultado tipado; degradación con campania_id nulo declarada</t>
  </si>
  <si>
    <t xml:space="preserve">T-306.3, T-301.4</t>
  </si>
  <si>
    <t xml:space="preserve">T-306.7</t>
  </si>
  <si>
    <t xml:space="preserve">Se prueba con un Campañas simulado hasta que exista T-312.3</t>
  </si>
  <si>
    <t xml:space="preserve">T-306.5</t>
  </si>
  <si>
    <t xml:space="preserve">Idempotencia del registro de donación (DS-10)</t>
  </si>
  <si>
    <t xml:space="preserve">T-306.6</t>
  </si>
  <si>
    <t xml:space="preserve">Identificador de correlación en los registros de aplicación</t>
  </si>
  <si>
    <t xml:space="preserve">Pruebas del servicio con tokens de la llave de prueba</t>
  </si>
  <si>
    <t xml:space="preserve">T-303.2, T-306.4, T-306.5, T-306.6</t>
  </si>
  <si>
    <t xml:space="preserve">T-307.1</t>
  </si>
  <si>
    <t xml:space="preserve">HU-307</t>
  </si>
  <si>
    <t xml:space="preserve">Donación: motor de transiciones con el catálogo completo</t>
  </si>
  <si>
    <t xml:space="preserve">Catálogo transicion_valida con las 13 transiciones del DD, cargado por migración</t>
  </si>
  <si>
    <t xml:space="preserve">T-307.2</t>
  </si>
  <si>
    <t xml:space="preserve">Motor único que lee el catálogo, rechaza lo no listado sin cambiar estado y registra el intento</t>
  </si>
  <si>
    <t xml:space="preserve">T-307.3, T-307.4, T-308.1, T-309.1, T-310.2, T-311.1</t>
  </si>
  <si>
    <t xml:space="preserve">T-307.3</t>
  </si>
  <si>
    <t xml:space="preserve">Invocación aislada del motor, sin base de datos, para recorrer los 82 casos</t>
  </si>
  <si>
    <t xml:space="preserve">T-315.2</t>
  </si>
  <si>
    <t xml:space="preserve">Habilita EC-36</t>
  </si>
  <si>
    <t xml:space="preserve">T-307.4</t>
  </si>
  <si>
    <t xml:space="preserve">Hacer pasar el alta de la unidad de T-306.3 por el motor</t>
  </si>
  <si>
    <t xml:space="preserve">T-307.2, T-306.3</t>
  </si>
  <si>
    <t xml:space="preserve">T-308.1</t>
  </si>
  <si>
    <t xml:space="preserve">HU-308</t>
  </si>
  <si>
    <t xml:space="preserve">Donación: ingreso a tamizaje y veredicto apto / no apto</t>
  </si>
  <si>
    <t xml:space="preserve">Operación de ingreso a tamizaje a través del motor</t>
  </si>
  <si>
    <t xml:space="preserve">Servicio de Donación</t>
  </si>
  <si>
    <t xml:space="preserve">T-308.2</t>
  </si>
  <si>
    <t xml:space="preserve">Veredicto apto / no apto con catálogo observacion_operativa y sin causa clínica</t>
  </si>
  <si>
    <t xml:space="preserve">T-308.3</t>
  </si>
  <si>
    <t xml:space="preserve">Pruebas de tamizaje</t>
  </si>
  <si>
    <t xml:space="preserve">T-309.1</t>
  </si>
  <si>
    <t xml:space="preserve">HU-309</t>
  </si>
  <si>
    <t xml:space="preserve">Donación: consulta de existencias filtrada por institución</t>
  </si>
  <si>
    <t xml:space="preserve">Consulta única de unidades disponibles (DS-04): aptas, no vencidas, sin estado indeterminado</t>
  </si>
  <si>
    <t xml:space="preserve">T-309.2, T-310.1</t>
  </si>
  <si>
    <t xml:space="preserve">La usan inventario y despacho</t>
  </si>
  <si>
    <t xml:space="preserve">T-309.2</t>
  </si>
  <si>
    <t xml:space="preserve">Existencias por componente y tipo de sangre filtradas por la institución del token</t>
  </si>
  <si>
    <t xml:space="preserve">T-309.3, T-317.2</t>
  </si>
  <si>
    <t xml:space="preserve">T-309.3</t>
  </si>
  <si>
    <t xml:space="preserve">Respuesta indistinguible ante institución ajena y registro del intento en la bitácora</t>
  </si>
  <si>
    <t xml:space="preserve">T-309.4</t>
  </si>
  <si>
    <t xml:space="preserve">EC-01</t>
  </si>
  <si>
    <t xml:space="preserve">Pruebas de existencias</t>
  </si>
  <si>
    <t xml:space="preserve">T-310.1</t>
  </si>
  <si>
    <t xml:space="preserve">HU-310</t>
  </si>
  <si>
    <t xml:space="preserve">Donación: despacho y disposición final con confirmación</t>
  </si>
  <si>
    <t xml:space="preserve">Despacho a través del motor, solo por la institución custodia (IN-21) y solo sobre unidades disponibles</t>
  </si>
  <si>
    <t xml:space="preserve">T-310.3</t>
  </si>
  <si>
    <t xml:space="preserve">EC-12, EC-39</t>
  </si>
  <si>
    <t xml:space="preserve">T-310.2</t>
  </si>
  <si>
    <t xml:space="preserve">Disposición final con campo confirmacion; 422 sin cambio de estado si no coincide</t>
  </si>
  <si>
    <t xml:space="preserve">EC-19, parte de API</t>
  </si>
  <si>
    <t xml:space="preserve">Registro de despacho y desecho en la serie de auditoría de Donación</t>
  </si>
  <si>
    <t xml:space="preserve">T-310.1, T-310.2</t>
  </si>
  <si>
    <t xml:space="preserve">T-310.4, T-315.8</t>
  </si>
  <si>
    <t xml:space="preserve">EC-05</t>
  </si>
  <si>
    <t xml:space="preserve">T-310.4</t>
  </si>
  <si>
    <t xml:space="preserve">Pruebas de despacho y disposición final</t>
  </si>
  <si>
    <t xml:space="preserve">T-314.6, T-315.4, T-315.7</t>
  </si>
  <si>
    <t xml:space="preserve">T-311.1</t>
  </si>
  <si>
    <t xml:space="preserve">HU-311</t>
  </si>
  <si>
    <t xml:space="preserve">Donación: exclusión automática de unidades vencidas</t>
  </si>
  <si>
    <t xml:space="preserve">Proceso programado que vence unidades a través del motor, con bloqueo consultivo (DS-06) y contenedor en UTC</t>
  </si>
  <si>
    <t xml:space="preserve">T-307.2, T-322.3</t>
  </si>
  <si>
    <t xml:space="preserve">T-311.2</t>
  </si>
  <si>
    <t xml:space="preserve">Necesita resuelta la contradicción del ciclo de vencimiento (RDS-13)</t>
  </si>
  <si>
    <t xml:space="preserve">Actor sistema con el nombre del proceso y correlación por ciclo</t>
  </si>
  <si>
    <t xml:space="preserve">T-311.3</t>
  </si>
  <si>
    <t xml:space="preserve">EC-33</t>
  </si>
  <si>
    <t xml:space="preserve">Pruebas con unidades sembradas como vencidas</t>
  </si>
  <si>
    <t xml:space="preserve">T-311.2, T-302.2</t>
  </si>
  <si>
    <t xml:space="preserve">T-314.6, T-315.8</t>
  </si>
  <si>
    <t xml:space="preserve">EC-13</t>
  </si>
  <si>
    <t xml:space="preserve">T-312.1</t>
  </si>
  <si>
    <t xml:space="preserve">HU-312</t>
  </si>
  <si>
    <t xml:space="preserve">Campañas: consultar, publicar y cerrar campañas</t>
  </si>
  <si>
    <t xml:space="preserve">Campañas</t>
  </si>
  <si>
    <t xml:space="preserve">Base db_campana: esquema del incremento, migraciones EF Core y roles</t>
  </si>
  <si>
    <t xml:space="preserve">Servicio de Campañas + db_campana</t>
  </si>
  <si>
    <t xml:space="preserve">T-302.2, T-312.2</t>
  </si>
  <si>
    <t xml:space="preserve">T-312.2</t>
  </si>
  <si>
    <t xml:space="preserve">Consulta de campañas con filtrado por rol y jurisdicción</t>
  </si>
  <si>
    <t xml:space="preserve">T-312.1, T-301.4</t>
  </si>
  <si>
    <t xml:space="preserve">T-312.3, T-312.4</t>
  </si>
  <si>
    <t xml:space="preserve">T-312.3</t>
  </si>
  <si>
    <t xml:space="preserve">Detalle de campaña para usuario y para el token de servicio de Donación</t>
  </si>
  <si>
    <t xml:space="preserve">T-312.6</t>
  </si>
  <si>
    <t xml:space="preserve">Lo consume T-306.4</t>
  </si>
  <si>
    <t xml:space="preserve">T-312.4</t>
  </si>
  <si>
    <t xml:space="preserve">Publicación y cierre solo para U4 de la institución organizadora</t>
  </si>
  <si>
    <t xml:space="preserve">T-312.5</t>
  </si>
  <si>
    <t xml:space="preserve">Serie de auditoría registro_auditoria_camp para publicación y cierre</t>
  </si>
  <si>
    <t xml:space="preserve">T-303.2, T-312.3, T-312.5</t>
  </si>
  <si>
    <t xml:space="preserve">T-313.1</t>
  </si>
  <si>
    <t xml:space="preserve">HU-313</t>
  </si>
  <si>
    <t xml:space="preserve">Integración continua de los repositorios del incremento</t>
  </si>
  <si>
    <t xml:space="preserve">Integración y despliegue</t>
  </si>
  <si>
    <t xml:space="preserve">Flujo de GitHub Actions por repositorio (Identidad, Gateway, Donación, Campañas, Web): construcción y pruebas</t>
  </si>
  <si>
    <t xml:space="preserve">Veli</t>
  </si>
  <si>
    <t xml:space="preserve">DevOps</t>
  </si>
  <si>
    <t xml:space="preserve">Infraestructura</t>
  </si>
  <si>
    <t xml:space="preserve">Despliegue en QA</t>
  </si>
  <si>
    <t xml:space="preserve">T-313.2, T-313.3, T-313.4, T-315.1</t>
  </si>
  <si>
    <t xml:space="preserve">T-313.2</t>
  </si>
  <si>
    <t xml:space="preserve">Gitleaks y Grype en cada flujo</t>
  </si>
  <si>
    <t xml:space="preserve">T-313.3</t>
  </si>
  <si>
    <t xml:space="preserve">Verificación del contrato OpenAPI en cada PR</t>
  </si>
  <si>
    <t xml:space="preserve">T-313.1, T-301.5</t>
  </si>
  <si>
    <t xml:space="preserve">EC-22</t>
  </si>
  <si>
    <t xml:space="preserve">T-313.4</t>
  </si>
  <si>
    <t xml:space="preserve">Publicación de imágenes al fusionar en develop</t>
  </si>
  <si>
    <t xml:space="preserve">T-314.2</t>
  </si>
  <si>
    <t xml:space="preserve">T-313.5</t>
  </si>
  <si>
    <t xml:space="preserve">Protección de las ramas main y develop según GitFlow</t>
  </si>
  <si>
    <t xml:space="preserve">HU-314</t>
  </si>
  <si>
    <t xml:space="preserve">Despliegue del incremento en QA con un solo comando</t>
  </si>
  <si>
    <t xml:space="preserve">Confirmar especificaciones reales de la máquina de QA y su acceso desde fuera de la red</t>
  </si>
  <si>
    <t xml:space="preserve">T-314.2, T-323.3</t>
  </si>
  <si>
    <t xml:space="preserve">Riesgo RT-02</t>
  </si>
  <si>
    <t xml:space="preserve">Compose de QA: borde, web, gateway, tres servicios, tres bases y tres trabajos de migración, en el orden de ADR-014-E1</t>
  </si>
  <si>
    <t xml:space="preserve">T-313.4, T-314.1</t>
  </si>
  <si>
    <t xml:space="preserve">T-314.3, T-314.4</t>
  </si>
  <si>
    <t xml:space="preserve">T-314.3</t>
  </si>
  <si>
    <t xml:space="preserve">Verificaciones de salud y medición del arranque en 10 minutos o menos</t>
  </si>
  <si>
    <t xml:space="preserve">T-314.2, T-302.3</t>
  </si>
  <si>
    <t xml:space="preserve">T-314.5, T-314.6</t>
  </si>
  <si>
    <t xml:space="preserve">EC-23</t>
  </si>
  <si>
    <t xml:space="preserve">T-314.4</t>
  </si>
  <si>
    <t xml:space="preserve">Detener y levantar un contenedor sin reiniciar el resto</t>
  </si>
  <si>
    <t xml:space="preserve">T-315.6</t>
  </si>
  <si>
    <t xml:space="preserve">Necesario para EC-08</t>
  </si>
  <si>
    <t xml:space="preserve">T-314.5</t>
  </si>
  <si>
    <t xml:space="preserve">Medir memoria y CPU de cada contenedor</t>
  </si>
  <si>
    <t xml:space="preserve">T-323.3</t>
  </si>
  <si>
    <t xml:space="preserve">T-411</t>
  </si>
  <si>
    <t xml:space="preserve">Desplegar el incremento completo en QA</t>
  </si>
  <si>
    <t xml:space="preserve">T-314.3, T-304.5, T-330.5, T-305.6, T-306.7, T-308.3, T-309.4, T-310.4, T-311.3, T-312.6</t>
  </si>
  <si>
    <t xml:space="preserve">T-316.1, T-320.6, T-322.4, T-323.4, T-329.1</t>
  </si>
  <si>
    <t xml:space="preserve">Hito: sin esto no hay informe de pruebas</t>
  </si>
  <si>
    <t xml:space="preserve">T-315.1</t>
  </si>
  <si>
    <t xml:space="preserve">HU-315</t>
  </si>
  <si>
    <t xml:space="preserve">Pruebas automatizadas del flujo, la degradación y los escenarios</t>
  </si>
  <si>
    <t xml:space="preserve">Estructura de la suite y su ejecución en la CI</t>
  </si>
  <si>
    <t xml:space="preserve">Varios</t>
  </si>
  <si>
    <t xml:space="preserve">Informe de pruebas</t>
  </si>
  <si>
    <t xml:space="preserve">T-315.2, T-315.3</t>
  </si>
  <si>
    <t xml:space="preserve">Suite de los 82 casos del motor: 13 aceptadas, 68 rechazadas y el alta, en menos de 2 minutos</t>
  </si>
  <si>
    <t xml:space="preserve">T-307.3, T-315.1</t>
  </si>
  <si>
    <t xml:space="preserve">T-316.1</t>
  </si>
  <si>
    <t xml:space="preserve">EC-36, EC-04</t>
  </si>
  <si>
    <t xml:space="preserve">T-315.3</t>
  </si>
  <si>
    <t xml:space="preserve">Validación de las respuestas contra los contratos OpenAPI</t>
  </si>
  <si>
    <t xml:space="preserve">T-301.5, T-315.1</t>
  </si>
  <si>
    <t xml:space="preserve">T-315.4</t>
  </si>
  <si>
    <t xml:space="preserve">Punta a punta por el gateway: sesión → donación con campaña → tamizaje → inventario → despacho</t>
  </si>
  <si>
    <t xml:space="preserve">T-305.6, T-306.7, T-308.3, T-309.4, T-310.4, T-312.6</t>
  </si>
  <si>
    <t xml:space="preserve">T-315.5, T-315.6, T-325.4</t>
  </si>
  <si>
    <t xml:space="preserve">Se escribe contra el contrato desde T-301.5</t>
  </si>
  <si>
    <t xml:space="preserve">Seguridad: EC-01 con U3 y U4, EC-02 en respuestas y registros, EC-03 incluida la llave de prueba rechazada</t>
  </si>
  <si>
    <t xml:space="preserve">T-315.4, T-330.5, T-303.3</t>
  </si>
  <si>
    <t xml:space="preserve">Resiliencia e integridad: EC-08 con Campañas detenido y EC-10 con cien reenvíos</t>
  </si>
  <si>
    <t xml:space="preserve">T-315.4, T-314.4</t>
  </si>
  <si>
    <t xml:space="preserve">T-315.7</t>
  </si>
  <si>
    <t xml:space="preserve">Bloqueos: EC-12, EC-19 por API y EC-39</t>
  </si>
  <si>
    <t xml:space="preserve">T-315.8</t>
  </si>
  <si>
    <t xml:space="preserve">Acciones automáticas y auditoría: EC-13, EC-33 y EC-05 (rol sin UPDATE ni DELETE)</t>
  </si>
  <si>
    <t xml:space="preserve">T-311.3, T-330.4, T-310.3</t>
  </si>
  <si>
    <t xml:space="preserve">HU-316</t>
  </si>
  <si>
    <t xml:space="preserve">Ejecución de pruebas en QA e informe de pruebas</t>
  </si>
  <si>
    <t xml:space="preserve">Ejecutar la suite completa sobre QA</t>
  </si>
  <si>
    <t xml:space="preserve">Documentación</t>
  </si>
  <si>
    <t xml:space="preserve">T-314.6, T-315.2, T-315.3, T-315.5, T-315.6, T-315.7, T-315.8</t>
  </si>
  <si>
    <t xml:space="preserve">T-316.2, T-316.3, T-324.4, T-325.5, T-327.1, T-329.3</t>
  </si>
  <si>
    <t xml:space="preserve">Hito</t>
  </si>
  <si>
    <t xml:space="preserve">T-316.2</t>
  </si>
  <si>
    <t xml:space="preserve">Registrar los defectos como Issues con clase «Defecto»</t>
  </si>
  <si>
    <t xml:space="preserve">T-316.3</t>
  </si>
  <si>
    <t xml:space="preserve">Redactar el informe de pruebas: casos, resultados, evidencia y defectos abiertos</t>
  </si>
  <si>
    <t xml:space="preserve">T-316.1, T-316.2</t>
  </si>
  <si>
    <t xml:space="preserve">T-321.2, T-325.6, T-329.4</t>
  </si>
  <si>
    <t xml:space="preserve">Entregable de la Semana 10</t>
  </si>
  <si>
    <t xml:space="preserve">T-317.1</t>
  </si>
  <si>
    <t xml:space="preserve">HU-317</t>
  </si>
  <si>
    <t xml:space="preserve">Web: pantallas de sesión e inventario conectadas al gateway</t>
  </si>
  <si>
    <t xml:space="preserve">Web</t>
  </si>
  <si>
    <t xml:space="preserve">Pantallas de inicio y cierre de sesión conectadas por el gateway</t>
  </si>
  <si>
    <t xml:space="preserve">Carlos</t>
  </si>
  <si>
    <t xml:space="preserve">Scrum Master / PM</t>
  </si>
  <si>
    <t xml:space="preserve">Aplicación Web</t>
  </si>
  <si>
    <t xml:space="preserve">Should</t>
  </si>
  <si>
    <t xml:space="preserve">T-317.2</t>
  </si>
  <si>
    <t xml:space="preserve">Pantalla de existencias consumiendo el contrato real</t>
  </si>
  <si>
    <t xml:space="preserve">T-309.2, T-317.1</t>
  </si>
  <si>
    <t xml:space="preserve">T-317.3</t>
  </si>
  <si>
    <t xml:space="preserve">Estados de carga, error y reintento en cada llamada</t>
  </si>
  <si>
    <t xml:space="preserve">T-317.4</t>
  </si>
  <si>
    <t xml:space="preserve">RA-07</t>
  </si>
  <si>
    <t xml:space="preserve">Revisión: sin lógica de negocio y datos visiblemente sintéticos</t>
  </si>
  <si>
    <t xml:space="preserve">T-318.1</t>
  </si>
  <si>
    <t xml:space="preserve">HU-318</t>
  </si>
  <si>
    <t xml:space="preserve">ADR-017: arquitectura definida como microservicios</t>
  </si>
  <si>
    <t xml:space="preserve">Arquitectura</t>
  </si>
  <si>
    <t xml:space="preserve">Redactar ADR-017 con la plantilla de Herramientas V3.0</t>
  </si>
  <si>
    <t xml:space="preserve">Actualización de arquitectura</t>
  </si>
  <si>
    <t xml:space="preserve">T-318.2</t>
  </si>
  <si>
    <t xml:space="preserve">Declarar la granularidad final y la lista de documentos y entradas del radar afectados</t>
  </si>
  <si>
    <t xml:space="preserve">T-318.3, T-328.4</t>
  </si>
  <si>
    <t xml:space="preserve">T-318.3</t>
  </si>
  <si>
    <t xml:space="preserve">Aprobar en Mesa de Arquitectura y marcar ADR-003 y ADR-014 como reemplazados o enmendados</t>
  </si>
  <si>
    <t xml:space="preserve">T-318.2, T-328.4</t>
  </si>
  <si>
    <t xml:space="preserve">T-320.1, T-321.1, T-322.2, T-323.2, T-324.3, T-326.1</t>
  </si>
  <si>
    <t xml:space="preserve">Desbloquea la terminología de todos los documentos</t>
  </si>
  <si>
    <t xml:space="preserve">T-319.1</t>
  </si>
  <si>
    <t xml:space="preserve">HU-319</t>
  </si>
  <si>
    <t xml:space="preserve">ADR-018: evaluación de Kafka</t>
  </si>
  <si>
    <t xml:space="preserve">Clasificar las aristas de ADR-014 y comparar HTTP con bandeja, RabbitMQ y Kafka por benchmarking</t>
  </si>
  <si>
    <t xml:space="preserve">T-319.2</t>
  </si>
  <si>
    <t xml:space="preserve">Redactar ADR-018 con costos, decisión y disparador</t>
  </si>
  <si>
    <t xml:space="preserve">T-319.3, T-328.4</t>
  </si>
  <si>
    <t xml:space="preserve">T-319.3</t>
  </si>
  <si>
    <t xml:space="preserve">Aprobar ADR-018 en Mesa de Arquitectura</t>
  </si>
  <si>
    <t xml:space="preserve">T-319.2, T-328.4</t>
  </si>
  <si>
    <t xml:space="preserve">T-321.1, T-326.2</t>
  </si>
  <si>
    <t xml:space="preserve">T-320.1</t>
  </si>
  <si>
    <t xml:space="preserve">HU-320</t>
  </si>
  <si>
    <t xml:space="preserve">Modelo C4 conforme a c4model.com y SDD V2</t>
  </si>
  <si>
    <t xml:space="preserve">Rehacer C4 nivel 1 (contexto) con la notación de c4model.com</t>
  </si>
  <si>
    <t xml:space="preserve">Diagrama</t>
  </si>
  <si>
    <t xml:space="preserve">SDD V2</t>
  </si>
  <si>
    <t xml:space="preserve">T-320.2</t>
  </si>
  <si>
    <t xml:space="preserve">Rehacer C4 nivel 2 (contenedores) con cada microservicio agrupado con su base</t>
  </si>
  <si>
    <t xml:space="preserve">T-320.3, T-320.4, T-320.7</t>
  </si>
  <si>
    <t xml:space="preserve">T-320.3</t>
  </si>
  <si>
    <t xml:space="preserve">C4 nivel 3 (componentes) de los microservicios que faltaban</t>
  </si>
  <si>
    <t xml:space="preserve">T-320.5</t>
  </si>
  <si>
    <t xml:space="preserve">T-320.4</t>
  </si>
  <si>
    <t xml:space="preserve">Diagrama de despliegue C4 alineado con el diagrama de infraestructura nuevo</t>
  </si>
  <si>
    <t xml:space="preserve">T-320.2, T-323.1</t>
  </si>
  <si>
    <t xml:space="preserve">T-320.5, T-323.4</t>
  </si>
  <si>
    <t xml:space="preserve">Gemelos Mermaid C4 en redvital-docs</t>
  </si>
  <si>
    <t xml:space="preserve">T-320.3, T-320.4</t>
  </si>
  <si>
    <t xml:space="preserve">T-320.6</t>
  </si>
  <si>
    <t xml:space="preserve">RD-04</t>
  </si>
  <si>
    <t xml:space="preserve">Emitir SDD V2: resultados de la PoC, ajustes del primer flujo, RDS-03, RDS-06, C4 y terminología</t>
  </si>
  <si>
    <t xml:space="preserve">T-320.5, T-314.6</t>
  </si>
  <si>
    <t xml:space="preserve">T-329.4</t>
  </si>
  <si>
    <t xml:space="preserve">T-320.7</t>
  </si>
  <si>
    <t xml:space="preserve">Entregar los diagramas C4 a Alex para la vista general del DD V3</t>
  </si>
  <si>
    <t xml:space="preserve">T-322.1</t>
  </si>
  <si>
    <t xml:space="preserve">T-321.1</t>
  </si>
  <si>
    <t xml:space="preserve">HU-321</t>
  </si>
  <si>
    <t xml:space="preserve">SAD V3</t>
  </si>
  <si>
    <t xml:space="preserve">SAD V3: terminología de microservicios y registro de ADR-017 y ADR-018</t>
  </si>
  <si>
    <t xml:space="preserve">T-318.3, T-319.3</t>
  </si>
  <si>
    <t xml:space="preserve">T-321.2</t>
  </si>
  <si>
    <t xml:space="preserve">SAD V3: riesgos RA y escenarios verificados con su evidencia; emitir</t>
  </si>
  <si>
    <t xml:space="preserve">T-321.1, T-316.3</t>
  </si>
  <si>
    <t xml:space="preserve">T-329.2</t>
  </si>
  <si>
    <t xml:space="preserve">HU-322</t>
  </si>
  <si>
    <t xml:space="preserve">DD V3</t>
  </si>
  <si>
    <t xml:space="preserve">DD V3: vista general con el C4 corregido</t>
  </si>
  <si>
    <t xml:space="preserve">Alex</t>
  </si>
  <si>
    <t xml:space="preserve">Product Owner</t>
  </si>
  <si>
    <t xml:space="preserve">T-322.5</t>
  </si>
  <si>
    <t xml:space="preserve">T-322.2</t>
  </si>
  <si>
    <t xml:space="preserve">DD V3: terminología de microservicios</t>
  </si>
  <si>
    <t xml:space="preserve">Resolver con Veli la contradicción del ciclo de vencimiento entre DD e Infraestructura (RDS-13)</t>
  </si>
  <si>
    <t xml:space="preserve">T-311.1, T-322.5</t>
  </si>
  <si>
    <t xml:space="preserve">Hacer al inicio: bloquea T-311.1</t>
  </si>
  <si>
    <t xml:space="preserve">T-322.4</t>
  </si>
  <si>
    <t xml:space="preserve">DD V3: marcar contratos construidos y ajustar los que cambiaron</t>
  </si>
  <si>
    <t xml:space="preserve">DD V3: revisar la matriz de autorización; emitir</t>
  </si>
  <si>
    <t xml:space="preserve">T-322.1, T-322.2, T-322.3, T-322.4</t>
  </si>
  <si>
    <t xml:space="preserve">HU-323</t>
  </si>
  <si>
    <t xml:space="preserve">Documento de Infraestructura V2</t>
  </si>
  <si>
    <t xml:space="preserve">Incorporar el diagrama de infraestructura nuevo</t>
  </si>
  <si>
    <t xml:space="preserve">Infraestructura V2</t>
  </si>
  <si>
    <t xml:space="preserve">Pendiente de recibir el diagrama del equipo</t>
  </si>
  <si>
    <t xml:space="preserve">T-323.2</t>
  </si>
  <si>
    <t xml:space="preserve">Infraestructura V2: terminología de microservicios</t>
  </si>
  <si>
    <t xml:space="preserve">T-323.4</t>
  </si>
  <si>
    <t xml:space="preserve">Presupuesto de recursos con la medición real y la máquina de QA</t>
  </si>
  <si>
    <t xml:space="preserve">T-314.1, T-314.5</t>
  </si>
  <si>
    <t xml:space="preserve">Estado de V-01 a V-21 en QA y coherencia con el despliegue C4; emitir</t>
  </si>
  <si>
    <t xml:space="preserve">T-314.6, T-320.4, T-323.2, T-323.3</t>
  </si>
  <si>
    <t xml:space="preserve">T-324.1</t>
  </si>
  <si>
    <t xml:space="preserve">HU-324</t>
  </si>
  <si>
    <t xml:space="preserve">SRS V4</t>
  </si>
  <si>
    <t xml:space="preserve">SRS V4: sincronizar la matriz usuario × módulo con la matriz normativa del DD</t>
  </si>
  <si>
    <t xml:space="preserve">T-324.4</t>
  </si>
  <si>
    <t xml:space="preserve">T-324.2</t>
  </si>
  <si>
    <t xml:space="preserve">SRS V4: documentar la decisión sobre el alta de cuentas de U3 a U7</t>
  </si>
  <si>
    <t xml:space="preserve">T-324.3</t>
  </si>
  <si>
    <t xml:space="preserve">SRS V4: terminología de microservicios</t>
  </si>
  <si>
    <t xml:space="preserve">SRS V4: estado de cada RF; emitir</t>
  </si>
  <si>
    <t xml:space="preserve">T-324.1, T-324.2, T-324.3, T-316.1</t>
  </si>
  <si>
    <t xml:space="preserve">T-325.1</t>
  </si>
  <si>
    <t xml:space="preserve">HU-325</t>
  </si>
  <si>
    <t xml:space="preserve">Documento de Pruebas TD V1</t>
  </si>
  <si>
    <t xml:space="preserve">TD V1: estructura, propósito, alcance, referencias y control de cambios</t>
  </si>
  <si>
    <t xml:space="preserve">TD V1</t>
  </si>
  <si>
    <t xml:space="preserve">T-325.2, T-325.3</t>
  </si>
  <si>
    <t xml:space="preserve">T-325.2</t>
  </si>
  <si>
    <t xml:space="preserve">TD V1: estrategia por nivel, ambientes, datos de prueba y llave de prueba</t>
  </si>
  <si>
    <t xml:space="preserve">T-325.1, T-302.1, T-303.2</t>
  </si>
  <si>
    <t xml:space="preserve">T-325.4</t>
  </si>
  <si>
    <t xml:space="preserve">T-325.3</t>
  </si>
  <si>
    <t xml:space="preserve">TD V1: criterios de entrada y salida, y gestión de defectos</t>
  </si>
  <si>
    <t xml:space="preserve">T-325.6</t>
  </si>
  <si>
    <t xml:space="preserve">TD V1: casos trazados a RF, RNF y EC</t>
  </si>
  <si>
    <t xml:space="preserve">T-325.2, T-315.4</t>
  </si>
  <si>
    <t xml:space="preserve">T-325.5</t>
  </si>
  <si>
    <t xml:space="preserve">TD V1: matriz de cobertura de los 17 escenarios del Sprint 3 más EC-08, EC-22, EC-23 y EC-36</t>
  </si>
  <si>
    <t xml:space="preserve">Base: sección 7 del backlog</t>
  </si>
  <si>
    <t xml:space="preserve">TD V1: resultados del Sprint 3 y plan de pruebas del Sprint 4; emitir</t>
  </si>
  <si>
    <t xml:space="preserve">T-325.3, T-325.4, T-325.5, T-316.3, T-327.3</t>
  </si>
  <si>
    <t xml:space="preserve">T-326.1</t>
  </si>
  <si>
    <t xml:space="preserve">HU-326</t>
  </si>
  <si>
    <t xml:space="preserve">Tech Radar actualizado por ADR-017 y ADR-018</t>
  </si>
  <si>
    <t xml:space="preserve">Actualizar las entradas del radar afectadas por ADR-017</t>
  </si>
  <si>
    <t xml:space="preserve">T-326.2</t>
  </si>
  <si>
    <t xml:space="preserve">Agregar Kafka en Evaluar con su disparador y actualizar la entrada 38 (RabbitMQ)</t>
  </si>
  <si>
    <t xml:space="preserve">T-327.1</t>
  </si>
  <si>
    <t xml:space="preserve">HU-327</t>
  </si>
  <si>
    <t xml:space="preserve">Backlog V4 y Planning del Sprint 4</t>
  </si>
  <si>
    <t xml:space="preserve">Gestión</t>
  </si>
  <si>
    <t xml:space="preserve">Estado final de cada historia del Sprint 3</t>
  </si>
  <si>
    <t xml:space="preserve">Backlog V4</t>
  </si>
  <si>
    <t xml:space="preserve">T-327.2, T-328.2</t>
  </si>
  <si>
    <t xml:space="preserve">T-327.2</t>
  </si>
  <si>
    <t xml:space="preserve">Devolver al Product Backlog lo no terminado con estimación revisada</t>
  </si>
  <si>
    <t xml:space="preserve">T-327.3</t>
  </si>
  <si>
    <t xml:space="preserve">Backlog del Sprint 4 con Sprint Goal, historias, puntos y responsables; emitir Backlog V4</t>
  </si>
  <si>
    <t xml:space="preserve">T-325.6, T-329.4</t>
  </si>
  <si>
    <t xml:space="preserve">T-327.4</t>
  </si>
  <si>
    <t xml:space="preserve">Confirmar con el cliente qué se mostrará del incremento en el Review</t>
  </si>
  <si>
    <t xml:space="preserve">Alex es el único canal con el cliente</t>
  </si>
  <si>
    <t xml:space="preserve">T-328.1</t>
  </si>
  <si>
    <t xml:space="preserve">HU-328</t>
  </si>
  <si>
    <t xml:space="preserve">Informe de evaluación del Sprint 3 y métricas de flujo</t>
  </si>
  <si>
    <t xml:space="preserve">Mantener la tabla diaria del sprint en redvital-docs</t>
  </si>
  <si>
    <t xml:space="preserve">Presentación</t>
  </si>
  <si>
    <t xml:space="preserve">Continua durante el sprint</t>
  </si>
  <si>
    <t xml:space="preserve">T-328.2</t>
  </si>
  <si>
    <t xml:space="preserve">Velocidad, gráfica de trabajo pendiente y diagrama de flujo acumulado del Sprint 3</t>
  </si>
  <si>
    <t xml:space="preserve">T-328.3</t>
  </si>
  <si>
    <t xml:space="preserve">Retrospectiva con acciones y responsables; emitir informe de evaluación</t>
  </si>
  <si>
    <t xml:space="preserve">T-328.4</t>
  </si>
  <si>
    <t xml:space="preserve">Convocar la Mesa de Arquitectura para ADR-017 y ADR-018</t>
  </si>
  <si>
    <t xml:space="preserve">T-318.2, T-319.2</t>
  </si>
  <si>
    <t xml:space="preserve">Cargar historias y tareas en GitHub Projects</t>
  </si>
  <si>
    <t xml:space="preserve">Hacer al inicio</t>
  </si>
  <si>
    <t xml:space="preserve">T-329.1</t>
  </si>
  <si>
    <t xml:space="preserve">HU-329</t>
  </si>
  <si>
    <t xml:space="preserve">Presentación de la Semana 10 y entrega en buzón</t>
  </si>
  <si>
    <t xml:space="preserve">Guion y presentación de 40 minutos como máximo, con demo en vivo que incluya la caída de Campañas</t>
  </si>
  <si>
    <t xml:space="preserve">Verificar las cifras de la presentación contra los documentos controlados</t>
  </si>
  <si>
    <t xml:space="preserve">T-329.1, T-321.2, T-322.5, T-323.4, T-324.4, T-325.6</t>
  </si>
  <si>
    <t xml:space="preserve">T-329.3</t>
  </si>
  <si>
    <t xml:space="preserve">Ensayo con tiempo medido</t>
  </si>
  <si>
    <t xml:space="preserve">T-329.2, T-316.1</t>
  </si>
  <si>
    <t xml:space="preserve">Subir los siete documentos, el informe de pruebas y la presentación al buzón del campus</t>
  </si>
  <si>
    <t xml:space="preserve">T-329.3, T-320.6, T-327.3, T-316.3, T-328.3</t>
  </si>
  <si>
    <t xml:space="preserve">Cierre de la entrega</t>
  </si>
  <si>
    <t xml:space="preserve">Título</t>
  </si>
  <si>
    <t xml:space="preserve">Origen</t>
  </si>
  <si>
    <t xml:space="preserve">Tareas</t>
  </si>
  <si>
    <t xml:space="preserve">Tareas hechas</t>
  </si>
  <si>
    <t xml:space="preserve">Avance</t>
  </si>
  <si>
    <t xml:space="preserve">DD V2.0, EC-22</t>
  </si>
  <si>
    <t xml:space="preserve">DD V2.0, EC-23</t>
  </si>
  <si>
    <t xml:space="preserve">ADR-008</t>
  </si>
  <si>
    <t xml:space="preserve">RF-23, ADR-008, EC-03</t>
  </si>
  <si>
    <t xml:space="preserve">RF-24, ADR-008, ADR-016, EC-03</t>
  </si>
  <si>
    <t xml:space="preserve">ADR-007, ADR-011, RNF-02</t>
  </si>
  <si>
    <t xml:space="preserve">RF-03, RF-04, EC-08, EC-10</t>
  </si>
  <si>
    <t xml:space="preserve">DS-03, EC-04, EC-36</t>
  </si>
  <si>
    <t xml:space="preserve">RF-05, RNF-01, EC-02</t>
  </si>
  <si>
    <t xml:space="preserve">RF-07, RNF-02, EC-01</t>
  </si>
  <si>
    <t xml:space="preserve">RF-06, EC-12, EC-19, EC-39</t>
  </si>
  <si>
    <t xml:space="preserve">RF-18, EC-13, EC-33</t>
  </si>
  <si>
    <t xml:space="preserve">RF-08</t>
  </si>
  <si>
    <t xml:space="preserve">RD-05, RD-06, EC-22</t>
  </si>
  <si>
    <t xml:space="preserve">RD-03, EC-23, T-411</t>
  </si>
  <si>
    <t xml:space="preserve">EC-01 a EC-05, EC-08, EC-10, EC-12, EC-13, EC-33, EC-36, EC-39</t>
  </si>
  <si>
    <t xml:space="preserve">Cronograma S10</t>
  </si>
  <si>
    <t xml:space="preserve">RF-23, RF-07, RA-06, RA-07</t>
  </si>
  <si>
    <t xml:space="preserve">RD-01, ADR-003, ADR-014</t>
  </si>
  <si>
    <t xml:space="preserve">ADR-014, entrada 38</t>
  </si>
  <si>
    <t xml:space="preserve">Cronograma S10, ADR-011</t>
  </si>
  <si>
    <t xml:space="preserve">ADR-017, ADR-018</t>
  </si>
  <si>
    <t xml:space="preserve">RD-07</t>
  </si>
  <si>
    <t xml:space="preserve">Herramientas V3.0</t>
  </si>
  <si>
    <t xml:space="preserve">Total</t>
  </si>
  <si>
    <t xml:space="preserve">Persona</t>
  </si>
  <si>
    <t xml:space="preserve">Historias</t>
  </si>
  <si>
    <t xml:space="preserve">Horas equivalentes</t>
  </si>
  <si>
    <t xml:space="preserve">Pendientes</t>
  </si>
  <si>
    <t xml:space="preserve">En curso</t>
  </si>
  <si>
    <t xml:space="preserve">Bloqueadas</t>
  </si>
  <si>
    <t xml:space="preserve">Hechas</t>
  </si>
  <si>
    <t xml:space="preserve">Supuestos (celdas en azul: editables)</t>
  </si>
  <si>
    <t xml:space="preserve">Horas por punto (referencia)</t>
  </si>
  <si>
    <t xml:space="preserve">Referencia de encaje acordada en el backlog; el seguimiento del sprint es en puntos.</t>
  </si>
  <si>
    <t xml:space="preserve">Horas disponibles por persona en el sprint</t>
  </si>
  <si>
    <t xml:space="preserve">9 h/semana × 2 semanas (Documento de Proyecto). El equipo retiró el tope de 16 h de tarea.</t>
  </si>
  <si>
    <t xml:space="preserve">Capacidad nominal del equipo (h)</t>
  </si>
  <si>
    <t xml:space="preserve">Horas equivalentes comprometidas</t>
  </si>
  <si>
    <t xml:space="preserve">Diferencia (capacidad − compromiso)</t>
  </si>
  <si>
    <t xml:space="preserve">En rojo, en la columna Horas equivalentes: personas por encima de sus horas disponibles.</t>
  </si>
  <si>
    <t xml:space="preserve">Versión</t>
  </si>
  <si>
    <t xml:space="preserve">Responsable principal</t>
  </si>
  <si>
    <t xml:space="preserve">Tarea que lo emite</t>
  </si>
  <si>
    <t xml:space="preserve">Presentación de la entrega (máx. 40 min) y buzón</t>
  </si>
  <si>
    <t xml:space="preserve">HU-328, HU-329</t>
  </si>
  <si>
    <t xml:space="preserve">Despliegue de componentes en QA</t>
  </si>
  <si>
    <t xml:space="preserve">HU-313, HU-314</t>
  </si>
  <si>
    <t xml:space="preserve">HU-315, HU-316</t>
  </si>
  <si>
    <t xml:space="preserve">HU-301 a HU-312, HU-330, HU-317</t>
  </si>
  <si>
    <t xml:space="preserve">Sebastián, Damián</t>
  </si>
  <si>
    <t xml:space="preserve">Documento de Requerimientos</t>
  </si>
  <si>
    <t xml:space="preserve">Backlog</t>
  </si>
  <si>
    <t xml:space="preserve">Documento de Arquitectura</t>
  </si>
  <si>
    <t xml:space="preserve">HU-318, HU-319, HU-321</t>
  </si>
  <si>
    <t xml:space="preserve">Documento de Diseño Detallado</t>
  </si>
  <si>
    <t xml:space="preserve">Documento de Infraestructura</t>
  </si>
  <si>
    <t xml:space="preserve">Documento de Diseño (vistas 4+1 y C4)</t>
  </si>
  <si>
    <t xml:space="preserve">Documento de Pruebas</t>
  </si>
  <si>
    <t xml:space="preserve">ID</t>
  </si>
  <si>
    <t xml:space="preserve">Escenarios que habilita</t>
  </si>
  <si>
    <t xml:space="preserve">C-01</t>
  </si>
  <si>
    <t xml:space="preserve">Web: registro de donación, tamizaje, despacho y diálogo de desecho</t>
  </si>
  <si>
    <t xml:space="preserve">RF-03, RF-05, RF-06</t>
  </si>
  <si>
    <t xml:space="preserve">EC-19 y EC-41 completos, EC-28</t>
  </si>
  <si>
    <t xml:space="preserve">T-317.3, T-306.3, T-308.2, T-310.2</t>
  </si>
  <si>
    <t xml:space="preserve">C-02</t>
  </si>
  <si>
    <t xml:space="preserve">Servicio Institucional + db_institucional: jerarquía, instituciones y vista territorial del coordinador</t>
  </si>
  <si>
    <t xml:space="preserve">RF-09, RNF-02</t>
  </si>
  <si>
    <t xml:space="preserve">EC-01 con U5</t>
  </si>
  <si>
    <t xml:space="preserve">T-305.1, T-303.1</t>
  </si>
  <si>
    <t xml:space="preserve">Necesita un responsable .NET</t>
  </si>
  <si>
    <t xml:space="preserve">C-03</t>
  </si>
  <si>
    <t xml:space="preserve">Creación y edición de campañas</t>
  </si>
  <si>
    <t xml:space="preserve">C-02, T-312.2</t>
  </si>
  <si>
    <t xml:space="preserve">Arista 10: Campañas pide la ruta territorial a Institucional</t>
  </si>
  <si>
    <t xml:space="preserve">C-04</t>
  </si>
  <si>
    <t xml:space="preserve">Fraccionamiento de la donación en componentes</t>
  </si>
  <si>
    <t xml:space="preserve">RF-03</t>
  </si>
  <si>
    <t xml:space="preserve">C-05</t>
  </si>
  <si>
    <t xml:space="preserve">Prometheus y Grafana en QA (entradas 31 y 32)</t>
  </si>
  <si>
    <t xml:space="preserve">C-06</t>
  </si>
  <si>
    <t xml:space="preserve">Alertas de escasez y de vencimiento próximo</t>
  </si>
  <si>
    <t xml:space="preserve">RF-19, RF-20</t>
  </si>
  <si>
    <t xml:space="preserve">T-309.1, T-311.1</t>
  </si>
  <si>
    <t xml:space="preserve">C-07</t>
  </si>
  <si>
    <t xml:space="preserve">Primera campaña de carga con Gatling sobre el inventario</t>
  </si>
  <si>
    <t xml:space="preserve">RNF-04</t>
  </si>
  <si>
    <t xml:space="preserve">T-314.6, C-05</t>
  </si>
  <si>
    <t xml:space="preserve">C-08</t>
  </si>
  <si>
    <t xml:space="preserve">Registro voluntario de donante (anónimo y con perfil)</t>
  </si>
  <si>
    <t xml:space="preserve">RF-01, RNF-03</t>
  </si>
  <si>
    <t xml:space="preserve">EC-17</t>
  </si>
  <si>
    <t xml:space="preserve">T-306.1, T-330.3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</si>
</sst>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1F2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7A1F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1F2B"/>
        <bgColor rgb="FF800000"/>
      </patternFill>
    </fill>
    <fill>
      <patternFill patternType="solid">
        <fgColor rgb="FFFFF6D5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7A1F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C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ould" displayName="tblCould" ref="A1:G9" headerRowCount="1" totalsRowCount="0" totalsRowShown="0">
  <autoFilter ref="A1:G9"/>
  <tableColumns count="7">
    <tableColumn id="1" name="ID"/>
    <tableColumn id="2" name="Título"/>
    <tableColumn id="3" name="Origen"/>
    <tableColumn id="4" name="Pts"/>
    <tableColumn id="5" name="Escenarios que habilita"/>
    <tableColumn id="6" name="Depende de"/>
    <tableColumn id="7" name="Nota"/>
  </tableColumns>
</table>
</file>

<file path=xl/tables/table2.xml><?xml version="1.0" encoding="utf-8"?>
<table xmlns="http://schemas.openxmlformats.org/spreadsheetml/2006/main" id="2" name="tblEntregables" displayName="tblEntregables" ref="A1:E12" headerRowCount="1" totalsRowCount="0" totalsRowShown="0">
  <autoFilter ref="A1:E12"/>
  <tableColumns count="5">
    <tableColumn id="1" name="Entregable de la Semana 10"/>
    <tableColumn id="2" name="Versión"/>
    <tableColumn id="3" name="Historias"/>
    <tableColumn id="4" name="Responsable principal"/>
    <tableColumn id="5" name="Tarea que lo emite"/>
  </tableColumns>
</table>
</file>

<file path=xl/tables/table3.xml><?xml version="1.0" encoding="utf-8"?>
<table xmlns="http://schemas.openxmlformats.org/spreadsheetml/2006/main" id="3" name="tblHistorias" displayName="tblHistorias" ref="A1:M31" headerRowCount="1" totalsRowCount="0" totalsRowShown="0">
  <autoFilter ref="A1:M31"/>
  <tableColumns count="13">
    <tableColumn id="1" name="Historia"/>
    <tableColumn id="2" name="Título"/>
    <tableColumn id="3" name="Frente"/>
    <tableColumn id="4" name="Responsable"/>
    <tableColumn id="5" name="MoSCoW"/>
    <tableColumn id="6" name="Pts"/>
    <tableColumn id="7" name="Componente"/>
    <tableColumn id="8" name="Entregable S10"/>
    <tableColumn id="9" name="Origen"/>
    <tableColumn id="10" name="Ruta crítica"/>
    <tableColumn id="11" name="Tareas"/>
    <tableColumn id="12" name="Tareas hechas"/>
    <tableColumn id="13" name="Avance"/>
  </tableColumns>
</table>
</file>

<file path=xl/tables/table4.xml><?xml version="1.0" encoding="utf-8"?>
<table xmlns="http://schemas.openxmlformats.org/spreadsheetml/2006/main" id="4" name="tblTareas" displayName="tblTareas" ref="A1:S135" headerRowCount="1" totalsRowCount="0" totalsRowShown="0">
  <autoFilter ref="A1:S135"/>
  <tableColumns count="19">
    <tableColumn id="1" name="ID tarea"/>
    <tableColumn id="2" name="Historia"/>
    <tableColumn id="3" name="Título de la historia"/>
    <tableColumn id="4" name="Frente"/>
    <tableColumn id="5" name="Tarea"/>
    <tableColumn id="6" name="Responsable"/>
    <tableColumn id="7" name="Rol"/>
    <tableColumn id="8" name="Tipo"/>
    <tableColumn id="9" name="Componente"/>
    <tableColumn id="10" name="Entregable S10"/>
    <tableColumn id="11" name="MoSCoW"/>
    <tableColumn id="12" name="Ruta crítica"/>
    <tableColumn id="13" name="Depende de"/>
    <tableColumn id="14" name="Bloquea a"/>
    <tableColumn id="15" name="Nivel"/>
    <tableColumn id="16" name="Estado"/>
    <tableColumn id="17" name="Fecha inicio"/>
    <tableColumn id="18" name="Fecha fin"/>
    <tableColumn id="19" name="No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32.8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4" t="s">
        <v>5</v>
      </c>
      <c r="B5" s="2"/>
    </row>
    <row r="6" customFormat="false" ht="23.85" hidden="false" customHeight="false" outlineLevel="0" collapsed="false">
      <c r="A6" s="3" t="s">
        <v>6</v>
      </c>
      <c r="B6" s="2" t="s">
        <v>7</v>
      </c>
    </row>
    <row r="7" customFormat="false" ht="23.85" hidden="false" customHeight="false" outlineLevel="0" collapsed="false">
      <c r="A7" s="3" t="s">
        <v>8</v>
      </c>
      <c r="B7" s="2" t="s">
        <v>9</v>
      </c>
    </row>
    <row r="8" customFormat="false" ht="15" hidden="false" customHeight="false" outlineLevel="0" collapsed="false">
      <c r="A8" s="3" t="s">
        <v>10</v>
      </c>
      <c r="B8" s="2" t="s">
        <v>11</v>
      </c>
    </row>
    <row r="9" customFormat="false" ht="23.85" hidden="false" customHeight="false" outlineLevel="0" collapsed="false">
      <c r="A9" s="3" t="s">
        <v>12</v>
      </c>
      <c r="B9" s="2" t="s">
        <v>13</v>
      </c>
    </row>
    <row r="10" customFormat="false" ht="15" hidden="false" customHeight="false" outlineLevel="0" collapsed="false">
      <c r="A10" s="3"/>
      <c r="B10" s="2"/>
    </row>
    <row r="11" customFormat="false" ht="15" hidden="false" customHeight="false" outlineLevel="0" collapsed="false">
      <c r="A11" s="4" t="s">
        <v>14</v>
      </c>
      <c r="B11" s="2"/>
    </row>
    <row r="12" customFormat="false" ht="23.85" hidden="false" customHeight="false" outlineLevel="0" collapsed="false">
      <c r="A12" s="3" t="s">
        <v>15</v>
      </c>
      <c r="B12" s="2" t="s">
        <v>16</v>
      </c>
    </row>
    <row r="13" customFormat="false" ht="23.85" hidden="false" customHeight="false" outlineLevel="0" collapsed="false">
      <c r="A13" s="3" t="s">
        <v>17</v>
      </c>
      <c r="B13" s="2" t="s">
        <v>18</v>
      </c>
    </row>
    <row r="14" customFormat="false" ht="35.05" hidden="false" customHeight="false" outlineLevel="0" collapsed="false">
      <c r="A14" s="3" t="s">
        <v>19</v>
      </c>
      <c r="B14" s="2" t="s">
        <v>20</v>
      </c>
    </row>
    <row r="15" customFormat="false" ht="23.85" hidden="false" customHeight="false" outlineLevel="0" collapsed="false">
      <c r="A15" s="3" t="s">
        <v>21</v>
      </c>
      <c r="B15" s="2" t="s">
        <v>22</v>
      </c>
    </row>
    <row r="16" customFormat="false" ht="15" hidden="false" customHeight="false" outlineLevel="0" collapsed="false">
      <c r="A16" s="3" t="s">
        <v>23</v>
      </c>
      <c r="B16" s="2" t="s">
        <v>24</v>
      </c>
    </row>
    <row r="17" customFormat="false" ht="15" hidden="false" customHeight="false" outlineLevel="0" collapsed="false">
      <c r="A17" s="3" t="s">
        <v>25</v>
      </c>
      <c r="B17" s="2" t="s">
        <v>26</v>
      </c>
    </row>
    <row r="18" customFormat="false" ht="15" hidden="false" customHeight="false" outlineLevel="0" collapsed="false">
      <c r="A18" s="3"/>
      <c r="B18" s="2"/>
    </row>
    <row r="19" customFormat="false" ht="26.85" hidden="false" customHeight="false" outlineLevel="0" collapsed="false">
      <c r="A19" s="4" t="s">
        <v>27</v>
      </c>
      <c r="B19" s="2"/>
    </row>
    <row r="20" customFormat="false" ht="15" hidden="false" customHeight="false" outlineLevel="0" collapsed="false">
      <c r="A20" s="3" t="s">
        <v>28</v>
      </c>
      <c r="B20" s="2" t="s">
        <v>29</v>
      </c>
    </row>
    <row r="21" customFormat="false" ht="15" hidden="false" customHeight="false" outlineLevel="0" collapsed="false">
      <c r="A21" s="3" t="s">
        <v>30</v>
      </c>
      <c r="B21" s="2" t="s">
        <v>31</v>
      </c>
    </row>
    <row r="22" customFormat="false" ht="15" hidden="false" customHeight="false" outlineLevel="0" collapsed="false">
      <c r="A22" s="3" t="s">
        <v>32</v>
      </c>
      <c r="B22" s="2" t="s">
        <v>33</v>
      </c>
    </row>
    <row r="23" customFormat="false" ht="15" hidden="false" customHeight="false" outlineLevel="0" collapsed="false">
      <c r="A23" s="3" t="s">
        <v>34</v>
      </c>
      <c r="B23" s="2" t="s">
        <v>35</v>
      </c>
    </row>
    <row r="24" customFormat="false" ht="15" hidden="false" customHeight="false" outlineLevel="0" collapsed="false">
      <c r="A24" s="3" t="s">
        <v>36</v>
      </c>
      <c r="B24" s="2" t="s">
        <v>37</v>
      </c>
    </row>
    <row r="25" customFormat="false" ht="15" hidden="false" customHeight="false" outlineLevel="0" collapsed="false">
      <c r="A25" s="3" t="s">
        <v>38</v>
      </c>
      <c r="B25" s="2" t="s">
        <v>39</v>
      </c>
    </row>
    <row r="26" customFormat="false" ht="15" hidden="false" customHeight="false" outlineLevel="0" collapsed="false">
      <c r="A26" s="3" t="s">
        <v>40</v>
      </c>
      <c r="B26" s="2" t="s">
        <v>41</v>
      </c>
    </row>
    <row r="27" customFormat="false" ht="15" hidden="false" customHeight="false" outlineLevel="0" collapsed="false">
      <c r="A27" s="3" t="s">
        <v>42</v>
      </c>
      <c r="B27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58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26"/>
    <col collapsed="false" customWidth="true" hidden="false" outlineLevel="0" max="15" min="15" style="0" width="7"/>
    <col collapsed="false" customWidth="true" hidden="false" outlineLevel="0" max="18" min="16" style="0" width="11"/>
    <col collapsed="false" customWidth="true" hidden="false" outlineLevel="0" max="19" min="19" style="0" width="36"/>
  </cols>
  <sheetData>
    <row r="1" customFormat="false" ht="31.5" hidden="false" customHeight="true" outlineLevel="0" collapsed="false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23</v>
      </c>
      <c r="I1" s="5" t="s">
        <v>51</v>
      </c>
      <c r="J1" s="5" t="s">
        <v>52</v>
      </c>
      <c r="K1" s="5" t="s">
        <v>53</v>
      </c>
      <c r="L1" s="5" t="s">
        <v>21</v>
      </c>
      <c r="M1" s="5" t="s">
        <v>15</v>
      </c>
      <c r="N1" s="5" t="s">
        <v>17</v>
      </c>
      <c r="O1" s="5" t="s">
        <v>19</v>
      </c>
      <c r="P1" s="5" t="s">
        <v>54</v>
      </c>
      <c r="Q1" s="5" t="s">
        <v>55</v>
      </c>
      <c r="R1" s="5" t="s">
        <v>56</v>
      </c>
      <c r="S1" s="5" t="s">
        <v>57</v>
      </c>
    </row>
    <row r="2" customFormat="false" ht="23.85" hidden="false" customHeight="false" outlineLevel="0" collapsed="false">
      <c r="A2" s="6" t="s">
        <v>58</v>
      </c>
      <c r="B2" s="6" t="s">
        <v>59</v>
      </c>
      <c r="C2" s="2" t="s">
        <v>60</v>
      </c>
      <c r="D2" s="2" t="s">
        <v>61</v>
      </c>
      <c r="E2" s="2" t="s">
        <v>62</v>
      </c>
      <c r="F2" s="6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6" t="s">
        <v>68</v>
      </c>
      <c r="L2" s="6" t="s">
        <v>69</v>
      </c>
      <c r="M2" s="2" t="s">
        <v>70</v>
      </c>
      <c r="N2" s="2" t="s">
        <v>71</v>
      </c>
      <c r="O2" s="6" t="n">
        <v>0</v>
      </c>
      <c r="P2" s="7" t="s">
        <v>72</v>
      </c>
      <c r="Q2" s="8"/>
      <c r="R2" s="8"/>
      <c r="S2" s="2"/>
    </row>
    <row r="3" customFormat="false" ht="23.85" hidden="false" customHeight="false" outlineLevel="0" collapsed="false">
      <c r="A3" s="6" t="s">
        <v>73</v>
      </c>
      <c r="B3" s="6" t="s">
        <v>59</v>
      </c>
      <c r="C3" s="2" t="s">
        <v>60</v>
      </c>
      <c r="D3" s="2" t="s">
        <v>61</v>
      </c>
      <c r="E3" s="2" t="s">
        <v>74</v>
      </c>
      <c r="F3" s="6" t="s">
        <v>63</v>
      </c>
      <c r="G3" s="2" t="s">
        <v>64</v>
      </c>
      <c r="H3" s="2" t="s">
        <v>75</v>
      </c>
      <c r="I3" s="2" t="s">
        <v>66</v>
      </c>
      <c r="J3" s="2" t="s">
        <v>67</v>
      </c>
      <c r="K3" s="6" t="s">
        <v>68</v>
      </c>
      <c r="L3" s="6" t="s">
        <v>69</v>
      </c>
      <c r="M3" s="2" t="s">
        <v>58</v>
      </c>
      <c r="N3" s="2" t="s">
        <v>76</v>
      </c>
      <c r="O3" s="6" t="n">
        <v>1</v>
      </c>
      <c r="P3" s="7" t="s">
        <v>72</v>
      </c>
      <c r="Q3" s="8"/>
      <c r="R3" s="8"/>
      <c r="S3" s="2"/>
    </row>
    <row r="4" customFormat="false" ht="23.85" hidden="false" customHeight="false" outlineLevel="0" collapsed="false">
      <c r="A4" s="6" t="s">
        <v>77</v>
      </c>
      <c r="B4" s="6" t="s">
        <v>59</v>
      </c>
      <c r="C4" s="2" t="s">
        <v>60</v>
      </c>
      <c r="D4" s="2" t="s">
        <v>61</v>
      </c>
      <c r="E4" s="2" t="s">
        <v>78</v>
      </c>
      <c r="F4" s="6" t="s">
        <v>63</v>
      </c>
      <c r="G4" s="2" t="s">
        <v>64</v>
      </c>
      <c r="H4" s="2" t="s">
        <v>75</v>
      </c>
      <c r="I4" s="2" t="s">
        <v>66</v>
      </c>
      <c r="J4" s="2" t="s">
        <v>67</v>
      </c>
      <c r="K4" s="6" t="s">
        <v>68</v>
      </c>
      <c r="L4" s="6" t="s">
        <v>69</v>
      </c>
      <c r="M4" s="2" t="s">
        <v>58</v>
      </c>
      <c r="N4" s="2" t="s">
        <v>79</v>
      </c>
      <c r="O4" s="6" t="n">
        <v>1</v>
      </c>
      <c r="P4" s="7" t="s">
        <v>72</v>
      </c>
      <c r="Q4" s="8"/>
      <c r="R4" s="8"/>
      <c r="S4" s="2"/>
    </row>
    <row r="5" customFormat="false" ht="23.85" hidden="false" customHeight="false" outlineLevel="0" collapsed="false">
      <c r="A5" s="6" t="s">
        <v>80</v>
      </c>
      <c r="B5" s="6" t="s">
        <v>59</v>
      </c>
      <c r="C5" s="2" t="s">
        <v>60</v>
      </c>
      <c r="D5" s="2" t="s">
        <v>61</v>
      </c>
      <c r="E5" s="2" t="s">
        <v>81</v>
      </c>
      <c r="F5" s="6" t="s">
        <v>63</v>
      </c>
      <c r="G5" s="2" t="s">
        <v>64</v>
      </c>
      <c r="H5" s="2" t="s">
        <v>75</v>
      </c>
      <c r="I5" s="2" t="s">
        <v>66</v>
      </c>
      <c r="J5" s="2" t="s">
        <v>67</v>
      </c>
      <c r="K5" s="6" t="s">
        <v>68</v>
      </c>
      <c r="L5" s="6" t="s">
        <v>69</v>
      </c>
      <c r="M5" s="2" t="s">
        <v>58</v>
      </c>
      <c r="N5" s="2" t="s">
        <v>82</v>
      </c>
      <c r="O5" s="6" t="n">
        <v>1</v>
      </c>
      <c r="P5" s="7" t="s">
        <v>72</v>
      </c>
      <c r="Q5" s="8"/>
      <c r="R5" s="8"/>
      <c r="S5" s="2"/>
    </row>
    <row r="6" customFormat="false" ht="23.85" hidden="false" customHeight="false" outlineLevel="0" collapsed="false">
      <c r="A6" s="6" t="s">
        <v>83</v>
      </c>
      <c r="B6" s="6" t="s">
        <v>59</v>
      </c>
      <c r="C6" s="2" t="s">
        <v>60</v>
      </c>
      <c r="D6" s="2" t="s">
        <v>61</v>
      </c>
      <c r="E6" s="2" t="s">
        <v>84</v>
      </c>
      <c r="F6" s="6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6" t="s">
        <v>68</v>
      </c>
      <c r="L6" s="6" t="s">
        <v>69</v>
      </c>
      <c r="M6" s="2" t="s">
        <v>85</v>
      </c>
      <c r="N6" s="2" t="s">
        <v>86</v>
      </c>
      <c r="O6" s="6" t="n">
        <v>2</v>
      </c>
      <c r="P6" s="7" t="s">
        <v>72</v>
      </c>
      <c r="Q6" s="8"/>
      <c r="R6" s="8"/>
      <c r="S6" s="2" t="s">
        <v>87</v>
      </c>
    </row>
    <row r="7" customFormat="false" ht="23.85" hidden="false" customHeight="false" outlineLevel="0" collapsed="false">
      <c r="A7" s="6" t="s">
        <v>88</v>
      </c>
      <c r="B7" s="6" t="s">
        <v>89</v>
      </c>
      <c r="C7" s="2" t="s">
        <v>90</v>
      </c>
      <c r="D7" s="2" t="s">
        <v>61</v>
      </c>
      <c r="E7" s="2" t="s">
        <v>91</v>
      </c>
      <c r="F7" s="6" t="s">
        <v>92</v>
      </c>
      <c r="G7" s="2" t="s">
        <v>93</v>
      </c>
      <c r="H7" s="2" t="s">
        <v>94</v>
      </c>
      <c r="I7" s="2" t="s">
        <v>95</v>
      </c>
      <c r="J7" s="2" t="s">
        <v>67</v>
      </c>
      <c r="K7" s="6" t="s">
        <v>68</v>
      </c>
      <c r="L7" s="6" t="s">
        <v>96</v>
      </c>
      <c r="M7" s="2" t="s">
        <v>58</v>
      </c>
      <c r="N7" s="2" t="s">
        <v>97</v>
      </c>
      <c r="O7" s="6" t="n">
        <v>1</v>
      </c>
      <c r="P7" s="7" t="s">
        <v>72</v>
      </c>
      <c r="Q7" s="8"/>
      <c r="R7" s="8"/>
      <c r="S7" s="2"/>
    </row>
    <row r="8" customFormat="false" ht="23.85" hidden="false" customHeight="false" outlineLevel="0" collapsed="false">
      <c r="A8" s="6" t="s">
        <v>98</v>
      </c>
      <c r="B8" s="6" t="s">
        <v>89</v>
      </c>
      <c r="C8" s="2" t="s">
        <v>90</v>
      </c>
      <c r="D8" s="2" t="s">
        <v>61</v>
      </c>
      <c r="E8" s="2" t="s">
        <v>99</v>
      </c>
      <c r="F8" s="6" t="s">
        <v>92</v>
      </c>
      <c r="G8" s="2" t="s">
        <v>93</v>
      </c>
      <c r="H8" s="2" t="s">
        <v>94</v>
      </c>
      <c r="I8" s="2" t="s">
        <v>95</v>
      </c>
      <c r="J8" s="2" t="s">
        <v>67</v>
      </c>
      <c r="K8" s="6" t="s">
        <v>68</v>
      </c>
      <c r="L8" s="6" t="s">
        <v>96</v>
      </c>
      <c r="M8" s="2" t="s">
        <v>100</v>
      </c>
      <c r="N8" s="2" t="s">
        <v>101</v>
      </c>
      <c r="O8" s="6" t="n">
        <v>2</v>
      </c>
      <c r="P8" s="7" t="s">
        <v>72</v>
      </c>
      <c r="Q8" s="8"/>
      <c r="R8" s="8"/>
      <c r="S8" s="2" t="s">
        <v>102</v>
      </c>
    </row>
    <row r="9" customFormat="false" ht="23.85" hidden="false" customHeight="false" outlineLevel="0" collapsed="false">
      <c r="A9" s="6" t="s">
        <v>103</v>
      </c>
      <c r="B9" s="6" t="s">
        <v>89</v>
      </c>
      <c r="C9" s="2" t="s">
        <v>90</v>
      </c>
      <c r="D9" s="2" t="s">
        <v>61</v>
      </c>
      <c r="E9" s="2" t="s">
        <v>104</v>
      </c>
      <c r="F9" s="6" t="s">
        <v>92</v>
      </c>
      <c r="G9" s="2" t="s">
        <v>93</v>
      </c>
      <c r="H9" s="2" t="s">
        <v>94</v>
      </c>
      <c r="I9" s="2" t="s">
        <v>95</v>
      </c>
      <c r="J9" s="2" t="s">
        <v>67</v>
      </c>
      <c r="K9" s="6" t="s">
        <v>68</v>
      </c>
      <c r="L9" s="6" t="s">
        <v>96</v>
      </c>
      <c r="M9" s="2" t="s">
        <v>98</v>
      </c>
      <c r="N9" s="2" t="s">
        <v>105</v>
      </c>
      <c r="O9" s="6" t="n">
        <v>3</v>
      </c>
      <c r="P9" s="7" t="s">
        <v>72</v>
      </c>
      <c r="Q9" s="8"/>
      <c r="R9" s="8"/>
      <c r="S9" s="2"/>
    </row>
    <row r="10" customFormat="false" ht="23.85" hidden="false" customHeight="false" outlineLevel="0" collapsed="false">
      <c r="A10" s="6" t="s">
        <v>106</v>
      </c>
      <c r="B10" s="6" t="s">
        <v>89</v>
      </c>
      <c r="C10" s="2" t="s">
        <v>90</v>
      </c>
      <c r="D10" s="2" t="s">
        <v>61</v>
      </c>
      <c r="E10" s="2" t="s">
        <v>107</v>
      </c>
      <c r="F10" s="6" t="s">
        <v>92</v>
      </c>
      <c r="G10" s="2" t="s">
        <v>93</v>
      </c>
      <c r="H10" s="2" t="s">
        <v>108</v>
      </c>
      <c r="I10" s="2" t="s">
        <v>95</v>
      </c>
      <c r="J10" s="2" t="s">
        <v>67</v>
      </c>
      <c r="K10" s="6" t="s">
        <v>68</v>
      </c>
      <c r="L10" s="6" t="s">
        <v>96</v>
      </c>
      <c r="M10" s="2" t="s">
        <v>103</v>
      </c>
      <c r="N10" s="2" t="s">
        <v>70</v>
      </c>
      <c r="O10" s="6" t="n">
        <v>4</v>
      </c>
      <c r="P10" s="7" t="s">
        <v>72</v>
      </c>
      <c r="Q10" s="8"/>
      <c r="R10" s="8"/>
      <c r="S10" s="2"/>
    </row>
    <row r="11" customFormat="false" ht="23.85" hidden="false" customHeight="false" outlineLevel="0" collapsed="false">
      <c r="A11" s="6" t="s">
        <v>28</v>
      </c>
      <c r="B11" s="6" t="s">
        <v>109</v>
      </c>
      <c r="C11" s="2" t="s">
        <v>110</v>
      </c>
      <c r="D11" s="2" t="s">
        <v>61</v>
      </c>
      <c r="E11" s="2" t="s">
        <v>111</v>
      </c>
      <c r="F11" s="6" t="s">
        <v>112</v>
      </c>
      <c r="G11" s="2" t="s">
        <v>113</v>
      </c>
      <c r="H11" s="2" t="s">
        <v>75</v>
      </c>
      <c r="I11" s="2" t="s">
        <v>114</v>
      </c>
      <c r="J11" s="2" t="s">
        <v>67</v>
      </c>
      <c r="K11" s="6" t="s">
        <v>68</v>
      </c>
      <c r="L11" s="6" t="s">
        <v>96</v>
      </c>
      <c r="M11" s="2" t="s">
        <v>70</v>
      </c>
      <c r="N11" s="2" t="s">
        <v>115</v>
      </c>
      <c r="O11" s="6" t="n">
        <v>0</v>
      </c>
      <c r="P11" s="7" t="s">
        <v>72</v>
      </c>
      <c r="Q11" s="8"/>
      <c r="R11" s="8"/>
      <c r="S11" s="2" t="s">
        <v>116</v>
      </c>
    </row>
    <row r="12" customFormat="false" ht="23.85" hidden="false" customHeight="false" outlineLevel="0" collapsed="false">
      <c r="A12" s="6" t="s">
        <v>115</v>
      </c>
      <c r="B12" s="6" t="s">
        <v>109</v>
      </c>
      <c r="C12" s="2" t="s">
        <v>110</v>
      </c>
      <c r="D12" s="2" t="s">
        <v>61</v>
      </c>
      <c r="E12" s="2" t="s">
        <v>117</v>
      </c>
      <c r="F12" s="6" t="s">
        <v>112</v>
      </c>
      <c r="G12" s="2" t="s">
        <v>113</v>
      </c>
      <c r="H12" s="2" t="s">
        <v>75</v>
      </c>
      <c r="I12" s="2" t="s">
        <v>114</v>
      </c>
      <c r="J12" s="2" t="s">
        <v>67</v>
      </c>
      <c r="K12" s="6" t="s">
        <v>68</v>
      </c>
      <c r="L12" s="6" t="s">
        <v>96</v>
      </c>
      <c r="M12" s="2" t="s">
        <v>28</v>
      </c>
      <c r="N12" s="2" t="s">
        <v>118</v>
      </c>
      <c r="O12" s="6" t="n">
        <v>1</v>
      </c>
      <c r="P12" s="7" t="s">
        <v>72</v>
      </c>
      <c r="Q12" s="8"/>
      <c r="R12" s="8"/>
      <c r="S12" s="2"/>
    </row>
    <row r="13" customFormat="false" ht="23.85" hidden="false" customHeight="false" outlineLevel="0" collapsed="false">
      <c r="A13" s="6" t="s">
        <v>119</v>
      </c>
      <c r="B13" s="6" t="s">
        <v>109</v>
      </c>
      <c r="C13" s="2" t="s">
        <v>110</v>
      </c>
      <c r="D13" s="2" t="s">
        <v>61</v>
      </c>
      <c r="E13" s="2" t="s">
        <v>120</v>
      </c>
      <c r="F13" s="6" t="s">
        <v>112</v>
      </c>
      <c r="G13" s="2" t="s">
        <v>113</v>
      </c>
      <c r="H13" s="2" t="s">
        <v>108</v>
      </c>
      <c r="I13" s="2" t="s">
        <v>114</v>
      </c>
      <c r="J13" s="2" t="s">
        <v>67</v>
      </c>
      <c r="K13" s="6" t="s">
        <v>68</v>
      </c>
      <c r="L13" s="6" t="s">
        <v>96</v>
      </c>
      <c r="M13" s="2" t="s">
        <v>121</v>
      </c>
      <c r="N13" s="2" t="s">
        <v>122</v>
      </c>
      <c r="O13" s="6" t="n">
        <v>6</v>
      </c>
      <c r="P13" s="7" t="s">
        <v>72</v>
      </c>
      <c r="Q13" s="8"/>
      <c r="R13" s="8"/>
      <c r="S13" s="2"/>
    </row>
    <row r="14" customFormat="false" ht="23.85" hidden="false" customHeight="false" outlineLevel="0" collapsed="false">
      <c r="A14" s="6" t="s">
        <v>123</v>
      </c>
      <c r="B14" s="6" t="s">
        <v>124</v>
      </c>
      <c r="C14" s="2" t="s">
        <v>125</v>
      </c>
      <c r="D14" s="2" t="s">
        <v>114</v>
      </c>
      <c r="E14" s="2" t="s">
        <v>126</v>
      </c>
      <c r="F14" s="6" t="s">
        <v>112</v>
      </c>
      <c r="G14" s="2" t="s">
        <v>113</v>
      </c>
      <c r="H14" s="2" t="s">
        <v>94</v>
      </c>
      <c r="I14" s="2" t="s">
        <v>127</v>
      </c>
      <c r="J14" s="2" t="s">
        <v>67</v>
      </c>
      <c r="K14" s="6" t="s">
        <v>68</v>
      </c>
      <c r="L14" s="6" t="s">
        <v>69</v>
      </c>
      <c r="M14" s="2" t="s">
        <v>70</v>
      </c>
      <c r="N14" s="2" t="s">
        <v>128</v>
      </c>
      <c r="O14" s="6" t="n">
        <v>0</v>
      </c>
      <c r="P14" s="7" t="s">
        <v>72</v>
      </c>
      <c r="Q14" s="8"/>
      <c r="R14" s="8"/>
      <c r="S14" s="2"/>
    </row>
    <row r="15" customFormat="false" ht="23.85" hidden="false" customHeight="false" outlineLevel="0" collapsed="false">
      <c r="A15" s="6" t="s">
        <v>129</v>
      </c>
      <c r="B15" s="6" t="s">
        <v>124</v>
      </c>
      <c r="C15" s="2" t="s">
        <v>125</v>
      </c>
      <c r="D15" s="2" t="s">
        <v>114</v>
      </c>
      <c r="E15" s="2" t="s">
        <v>130</v>
      </c>
      <c r="F15" s="6" t="s">
        <v>112</v>
      </c>
      <c r="G15" s="2" t="s">
        <v>113</v>
      </c>
      <c r="H15" s="2" t="s">
        <v>75</v>
      </c>
      <c r="I15" s="2" t="s">
        <v>127</v>
      </c>
      <c r="J15" s="2" t="s">
        <v>67</v>
      </c>
      <c r="K15" s="6" t="s">
        <v>68</v>
      </c>
      <c r="L15" s="6" t="s">
        <v>69</v>
      </c>
      <c r="M15" s="2" t="s">
        <v>131</v>
      </c>
      <c r="N15" s="2" t="s">
        <v>132</v>
      </c>
      <c r="O15" s="6" t="n">
        <v>2</v>
      </c>
      <c r="P15" s="7" t="s">
        <v>72</v>
      </c>
      <c r="Q15" s="8"/>
      <c r="R15" s="8"/>
      <c r="S15" s="2"/>
    </row>
    <row r="16" customFormat="false" ht="23.85" hidden="false" customHeight="false" outlineLevel="0" collapsed="false">
      <c r="A16" s="6" t="s">
        <v>132</v>
      </c>
      <c r="B16" s="6" t="s">
        <v>124</v>
      </c>
      <c r="C16" s="2" t="s">
        <v>125</v>
      </c>
      <c r="D16" s="2" t="s">
        <v>114</v>
      </c>
      <c r="E16" s="2" t="s">
        <v>133</v>
      </c>
      <c r="F16" s="6" t="s">
        <v>112</v>
      </c>
      <c r="G16" s="2" t="s">
        <v>113</v>
      </c>
      <c r="H16" s="2" t="s">
        <v>75</v>
      </c>
      <c r="I16" s="2" t="s">
        <v>127</v>
      </c>
      <c r="J16" s="2" t="s">
        <v>67</v>
      </c>
      <c r="K16" s="6" t="s">
        <v>68</v>
      </c>
      <c r="L16" s="6" t="s">
        <v>69</v>
      </c>
      <c r="M16" s="2" t="s">
        <v>129</v>
      </c>
      <c r="N16" s="2" t="s">
        <v>134</v>
      </c>
      <c r="O16" s="6" t="n">
        <v>3</v>
      </c>
      <c r="P16" s="7" t="s">
        <v>72</v>
      </c>
      <c r="Q16" s="8"/>
      <c r="R16" s="8"/>
      <c r="S16" s="2"/>
    </row>
    <row r="17" customFormat="false" ht="23.85" hidden="false" customHeight="false" outlineLevel="0" collapsed="false">
      <c r="A17" s="6" t="s">
        <v>135</v>
      </c>
      <c r="B17" s="6" t="s">
        <v>124</v>
      </c>
      <c r="C17" s="2" t="s">
        <v>125</v>
      </c>
      <c r="D17" s="2" t="s">
        <v>114</v>
      </c>
      <c r="E17" s="2" t="s">
        <v>136</v>
      </c>
      <c r="F17" s="6" t="s">
        <v>112</v>
      </c>
      <c r="G17" s="2" t="s">
        <v>113</v>
      </c>
      <c r="H17" s="2" t="s">
        <v>75</v>
      </c>
      <c r="I17" s="2" t="s">
        <v>127</v>
      </c>
      <c r="J17" s="2" t="s">
        <v>67</v>
      </c>
      <c r="K17" s="6" t="s">
        <v>68</v>
      </c>
      <c r="L17" s="6" t="s">
        <v>69</v>
      </c>
      <c r="M17" s="2" t="s">
        <v>132</v>
      </c>
      <c r="N17" s="2" t="s">
        <v>137</v>
      </c>
      <c r="O17" s="6" t="n">
        <v>4</v>
      </c>
      <c r="P17" s="7" t="s">
        <v>72</v>
      </c>
      <c r="Q17" s="8"/>
      <c r="R17" s="8"/>
      <c r="S17" s="2" t="s">
        <v>138</v>
      </c>
    </row>
    <row r="18" customFormat="false" ht="23.85" hidden="false" customHeight="false" outlineLevel="0" collapsed="false">
      <c r="A18" s="6" t="s">
        <v>139</v>
      </c>
      <c r="B18" s="6" t="s">
        <v>124</v>
      </c>
      <c r="C18" s="2" t="s">
        <v>125</v>
      </c>
      <c r="D18" s="2" t="s">
        <v>114</v>
      </c>
      <c r="E18" s="2" t="s">
        <v>140</v>
      </c>
      <c r="F18" s="6" t="s">
        <v>112</v>
      </c>
      <c r="G18" s="2" t="s">
        <v>113</v>
      </c>
      <c r="H18" s="2" t="s">
        <v>108</v>
      </c>
      <c r="I18" s="2" t="s">
        <v>127</v>
      </c>
      <c r="J18" s="2" t="s">
        <v>67</v>
      </c>
      <c r="K18" s="6" t="s">
        <v>68</v>
      </c>
      <c r="L18" s="6" t="s">
        <v>69</v>
      </c>
      <c r="M18" s="2" t="s">
        <v>135</v>
      </c>
      <c r="N18" s="2" t="s">
        <v>141</v>
      </c>
      <c r="O18" s="6" t="n">
        <v>5</v>
      </c>
      <c r="P18" s="7" t="s">
        <v>72</v>
      </c>
      <c r="Q18" s="8"/>
      <c r="R18" s="8"/>
      <c r="S18" s="2"/>
    </row>
    <row r="19" customFormat="false" ht="23.85" hidden="false" customHeight="false" outlineLevel="0" collapsed="false">
      <c r="A19" s="6" t="s">
        <v>142</v>
      </c>
      <c r="B19" s="6" t="s">
        <v>143</v>
      </c>
      <c r="C19" s="2" t="s">
        <v>144</v>
      </c>
      <c r="D19" s="2" t="s">
        <v>114</v>
      </c>
      <c r="E19" s="2" t="s">
        <v>145</v>
      </c>
      <c r="F19" s="6" t="s">
        <v>112</v>
      </c>
      <c r="G19" s="2" t="s">
        <v>113</v>
      </c>
      <c r="H19" s="2" t="s">
        <v>75</v>
      </c>
      <c r="I19" s="2" t="s">
        <v>127</v>
      </c>
      <c r="J19" s="2" t="s">
        <v>67</v>
      </c>
      <c r="K19" s="6" t="s">
        <v>68</v>
      </c>
      <c r="L19" s="6" t="s">
        <v>96</v>
      </c>
      <c r="M19" s="2" t="s">
        <v>132</v>
      </c>
      <c r="N19" s="2" t="s">
        <v>146</v>
      </c>
      <c r="O19" s="6" t="n">
        <v>4</v>
      </c>
      <c r="P19" s="7" t="s">
        <v>72</v>
      </c>
      <c r="Q19" s="8"/>
      <c r="R19" s="8"/>
      <c r="S19" s="2"/>
    </row>
    <row r="20" customFormat="false" ht="23.85" hidden="false" customHeight="false" outlineLevel="0" collapsed="false">
      <c r="A20" s="6" t="s">
        <v>146</v>
      </c>
      <c r="B20" s="6" t="s">
        <v>143</v>
      </c>
      <c r="C20" s="2" t="s">
        <v>144</v>
      </c>
      <c r="D20" s="2" t="s">
        <v>114</v>
      </c>
      <c r="E20" s="2" t="s">
        <v>147</v>
      </c>
      <c r="F20" s="6" t="s">
        <v>112</v>
      </c>
      <c r="G20" s="2" t="s">
        <v>113</v>
      </c>
      <c r="H20" s="2" t="s">
        <v>75</v>
      </c>
      <c r="I20" s="2" t="s">
        <v>127</v>
      </c>
      <c r="J20" s="2" t="s">
        <v>67</v>
      </c>
      <c r="K20" s="6" t="s">
        <v>68</v>
      </c>
      <c r="L20" s="6" t="s">
        <v>96</v>
      </c>
      <c r="M20" s="2" t="s">
        <v>142</v>
      </c>
      <c r="N20" s="2" t="s">
        <v>148</v>
      </c>
      <c r="O20" s="6" t="n">
        <v>5</v>
      </c>
      <c r="P20" s="7" t="s">
        <v>72</v>
      </c>
      <c r="Q20" s="8"/>
      <c r="R20" s="8"/>
      <c r="S20" s="2"/>
    </row>
    <row r="21" customFormat="false" ht="23.85" hidden="false" customHeight="false" outlineLevel="0" collapsed="false">
      <c r="A21" s="6" t="s">
        <v>149</v>
      </c>
      <c r="B21" s="6" t="s">
        <v>143</v>
      </c>
      <c r="C21" s="2" t="s">
        <v>144</v>
      </c>
      <c r="D21" s="2" t="s">
        <v>114</v>
      </c>
      <c r="E21" s="2" t="s">
        <v>150</v>
      </c>
      <c r="F21" s="6" t="s">
        <v>112</v>
      </c>
      <c r="G21" s="2" t="s">
        <v>113</v>
      </c>
      <c r="H21" s="2" t="s">
        <v>75</v>
      </c>
      <c r="I21" s="2" t="s">
        <v>127</v>
      </c>
      <c r="J21" s="2" t="s">
        <v>67</v>
      </c>
      <c r="K21" s="6" t="s">
        <v>68</v>
      </c>
      <c r="L21" s="6" t="s">
        <v>96</v>
      </c>
      <c r="M21" s="2" t="s">
        <v>132</v>
      </c>
      <c r="N21" s="2" t="s">
        <v>148</v>
      </c>
      <c r="O21" s="6" t="n">
        <v>4</v>
      </c>
      <c r="P21" s="7" t="s">
        <v>72</v>
      </c>
      <c r="Q21" s="8"/>
      <c r="R21" s="8"/>
      <c r="S21" s="2"/>
    </row>
    <row r="22" customFormat="false" ht="23.85" hidden="false" customHeight="false" outlineLevel="0" collapsed="false">
      <c r="A22" s="6" t="s">
        <v>151</v>
      </c>
      <c r="B22" s="6" t="s">
        <v>143</v>
      </c>
      <c r="C22" s="2" t="s">
        <v>144</v>
      </c>
      <c r="D22" s="2" t="s">
        <v>114</v>
      </c>
      <c r="E22" s="2" t="s">
        <v>152</v>
      </c>
      <c r="F22" s="6" t="s">
        <v>112</v>
      </c>
      <c r="G22" s="2" t="s">
        <v>113</v>
      </c>
      <c r="H22" s="2" t="s">
        <v>94</v>
      </c>
      <c r="I22" s="2" t="s">
        <v>127</v>
      </c>
      <c r="J22" s="2" t="s">
        <v>67</v>
      </c>
      <c r="K22" s="6" t="s">
        <v>68</v>
      </c>
      <c r="L22" s="6" t="s">
        <v>96</v>
      </c>
      <c r="M22" s="2" t="s">
        <v>123</v>
      </c>
      <c r="N22" s="2" t="s">
        <v>153</v>
      </c>
      <c r="O22" s="6" t="n">
        <v>1</v>
      </c>
      <c r="P22" s="7" t="s">
        <v>72</v>
      </c>
      <c r="Q22" s="8"/>
      <c r="R22" s="8"/>
      <c r="S22" s="2" t="s">
        <v>154</v>
      </c>
    </row>
    <row r="23" customFormat="false" ht="23.85" hidden="false" customHeight="false" outlineLevel="0" collapsed="false">
      <c r="A23" s="6" t="s">
        <v>148</v>
      </c>
      <c r="B23" s="6" t="s">
        <v>143</v>
      </c>
      <c r="C23" s="2" t="s">
        <v>144</v>
      </c>
      <c r="D23" s="2" t="s">
        <v>114</v>
      </c>
      <c r="E23" s="2" t="s">
        <v>155</v>
      </c>
      <c r="F23" s="6" t="s">
        <v>112</v>
      </c>
      <c r="G23" s="2" t="s">
        <v>113</v>
      </c>
      <c r="H23" s="2" t="s">
        <v>108</v>
      </c>
      <c r="I23" s="2" t="s">
        <v>127</v>
      </c>
      <c r="J23" s="2" t="s">
        <v>67</v>
      </c>
      <c r="K23" s="6" t="s">
        <v>68</v>
      </c>
      <c r="L23" s="6" t="s">
        <v>96</v>
      </c>
      <c r="M23" s="2" t="s">
        <v>156</v>
      </c>
      <c r="N23" s="2" t="s">
        <v>157</v>
      </c>
      <c r="O23" s="6" t="n">
        <v>6</v>
      </c>
      <c r="P23" s="7" t="s">
        <v>72</v>
      </c>
      <c r="Q23" s="8"/>
      <c r="R23" s="8"/>
      <c r="S23" s="2"/>
    </row>
    <row r="24" customFormat="false" ht="23.85" hidden="false" customHeight="false" outlineLevel="0" collapsed="false">
      <c r="A24" s="6" t="s">
        <v>158</v>
      </c>
      <c r="B24" s="6" t="s">
        <v>159</v>
      </c>
      <c r="C24" s="2" t="s">
        <v>160</v>
      </c>
      <c r="D24" s="2" t="s">
        <v>161</v>
      </c>
      <c r="E24" s="2" t="s">
        <v>162</v>
      </c>
      <c r="F24" s="6" t="s">
        <v>112</v>
      </c>
      <c r="G24" s="2" t="s">
        <v>113</v>
      </c>
      <c r="H24" s="2" t="s">
        <v>75</v>
      </c>
      <c r="I24" s="2" t="s">
        <v>163</v>
      </c>
      <c r="J24" s="2" t="s">
        <v>67</v>
      </c>
      <c r="K24" s="6" t="s">
        <v>68</v>
      </c>
      <c r="L24" s="6" t="s">
        <v>69</v>
      </c>
      <c r="M24" s="2" t="s">
        <v>83</v>
      </c>
      <c r="N24" s="2" t="s">
        <v>164</v>
      </c>
      <c r="O24" s="6" t="n">
        <v>3</v>
      </c>
      <c r="P24" s="7" t="s">
        <v>72</v>
      </c>
      <c r="Q24" s="8"/>
      <c r="R24" s="8"/>
      <c r="S24" s="2"/>
    </row>
    <row r="25" customFormat="false" ht="23.85" hidden="false" customHeight="false" outlineLevel="0" collapsed="false">
      <c r="A25" s="6" t="s">
        <v>165</v>
      </c>
      <c r="B25" s="6" t="s">
        <v>159</v>
      </c>
      <c r="C25" s="2" t="s">
        <v>160</v>
      </c>
      <c r="D25" s="2" t="s">
        <v>161</v>
      </c>
      <c r="E25" s="2" t="s">
        <v>166</v>
      </c>
      <c r="F25" s="6" t="s">
        <v>112</v>
      </c>
      <c r="G25" s="2" t="s">
        <v>113</v>
      </c>
      <c r="H25" s="2" t="s">
        <v>75</v>
      </c>
      <c r="I25" s="2" t="s">
        <v>163</v>
      </c>
      <c r="J25" s="2" t="s">
        <v>67</v>
      </c>
      <c r="K25" s="6" t="s">
        <v>68</v>
      </c>
      <c r="L25" s="6" t="s">
        <v>69</v>
      </c>
      <c r="M25" s="2" t="s">
        <v>167</v>
      </c>
      <c r="N25" s="2" t="s">
        <v>168</v>
      </c>
      <c r="O25" s="6" t="n">
        <v>5</v>
      </c>
      <c r="P25" s="7" t="s">
        <v>72</v>
      </c>
      <c r="Q25" s="8"/>
      <c r="R25" s="8"/>
      <c r="S25" s="2"/>
    </row>
    <row r="26" customFormat="false" ht="23.85" hidden="false" customHeight="false" outlineLevel="0" collapsed="false">
      <c r="A26" s="6" t="s">
        <v>169</v>
      </c>
      <c r="B26" s="6" t="s">
        <v>159</v>
      </c>
      <c r="C26" s="2" t="s">
        <v>160</v>
      </c>
      <c r="D26" s="2" t="s">
        <v>161</v>
      </c>
      <c r="E26" s="2" t="s">
        <v>170</v>
      </c>
      <c r="F26" s="6" t="s">
        <v>112</v>
      </c>
      <c r="G26" s="2" t="s">
        <v>113</v>
      </c>
      <c r="H26" s="2" t="s">
        <v>75</v>
      </c>
      <c r="I26" s="2" t="s">
        <v>163</v>
      </c>
      <c r="J26" s="2" t="s">
        <v>67</v>
      </c>
      <c r="K26" s="6" t="s">
        <v>68</v>
      </c>
      <c r="L26" s="6" t="s">
        <v>69</v>
      </c>
      <c r="M26" s="2" t="s">
        <v>165</v>
      </c>
      <c r="N26" s="2" t="s">
        <v>171</v>
      </c>
      <c r="O26" s="6" t="n">
        <v>6</v>
      </c>
      <c r="P26" s="7" t="s">
        <v>72</v>
      </c>
      <c r="Q26" s="8"/>
      <c r="R26" s="8"/>
      <c r="S26" s="2"/>
    </row>
    <row r="27" customFormat="false" ht="23.85" hidden="false" customHeight="false" outlineLevel="0" collapsed="false">
      <c r="A27" s="6" t="s">
        <v>172</v>
      </c>
      <c r="B27" s="6" t="s">
        <v>159</v>
      </c>
      <c r="C27" s="2" t="s">
        <v>160</v>
      </c>
      <c r="D27" s="2" t="s">
        <v>161</v>
      </c>
      <c r="E27" s="2" t="s">
        <v>173</v>
      </c>
      <c r="F27" s="6" t="s">
        <v>112</v>
      </c>
      <c r="G27" s="2" t="s">
        <v>113</v>
      </c>
      <c r="H27" s="2" t="s">
        <v>75</v>
      </c>
      <c r="I27" s="2" t="s">
        <v>163</v>
      </c>
      <c r="J27" s="2" t="s">
        <v>67</v>
      </c>
      <c r="K27" s="6" t="s">
        <v>68</v>
      </c>
      <c r="L27" s="6" t="s">
        <v>69</v>
      </c>
      <c r="M27" s="2" t="s">
        <v>174</v>
      </c>
      <c r="N27" s="2" t="s">
        <v>175</v>
      </c>
      <c r="O27" s="6" t="n">
        <v>7</v>
      </c>
      <c r="P27" s="7" t="s">
        <v>72</v>
      </c>
      <c r="Q27" s="8"/>
      <c r="R27" s="8"/>
      <c r="S27" s="2"/>
    </row>
    <row r="28" customFormat="false" ht="23.85" hidden="false" customHeight="false" outlineLevel="0" collapsed="false">
      <c r="A28" s="6" t="s">
        <v>176</v>
      </c>
      <c r="B28" s="6" t="s">
        <v>159</v>
      </c>
      <c r="C28" s="2" t="s">
        <v>160</v>
      </c>
      <c r="D28" s="2" t="s">
        <v>161</v>
      </c>
      <c r="E28" s="2" t="s">
        <v>177</v>
      </c>
      <c r="F28" s="6" t="s">
        <v>112</v>
      </c>
      <c r="G28" s="2" t="s">
        <v>113</v>
      </c>
      <c r="H28" s="2" t="s">
        <v>75</v>
      </c>
      <c r="I28" s="2" t="s">
        <v>163</v>
      </c>
      <c r="J28" s="2" t="s">
        <v>67</v>
      </c>
      <c r="K28" s="6" t="s">
        <v>68</v>
      </c>
      <c r="L28" s="6" t="s">
        <v>69</v>
      </c>
      <c r="M28" s="2" t="s">
        <v>158</v>
      </c>
      <c r="N28" s="2" t="s">
        <v>175</v>
      </c>
      <c r="O28" s="6" t="n">
        <v>4</v>
      </c>
      <c r="P28" s="7" t="s">
        <v>72</v>
      </c>
      <c r="Q28" s="8"/>
      <c r="R28" s="8"/>
      <c r="S28" s="2"/>
    </row>
    <row r="29" customFormat="false" ht="23.85" hidden="false" customHeight="false" outlineLevel="0" collapsed="false">
      <c r="A29" s="6" t="s">
        <v>175</v>
      </c>
      <c r="B29" s="6" t="s">
        <v>159</v>
      </c>
      <c r="C29" s="2" t="s">
        <v>160</v>
      </c>
      <c r="D29" s="2" t="s">
        <v>161</v>
      </c>
      <c r="E29" s="2" t="s">
        <v>178</v>
      </c>
      <c r="F29" s="6" t="s">
        <v>112</v>
      </c>
      <c r="G29" s="2" t="s">
        <v>113</v>
      </c>
      <c r="H29" s="2" t="s">
        <v>108</v>
      </c>
      <c r="I29" s="2" t="s">
        <v>163</v>
      </c>
      <c r="J29" s="2" t="s">
        <v>67</v>
      </c>
      <c r="K29" s="6" t="s">
        <v>68</v>
      </c>
      <c r="L29" s="6" t="s">
        <v>69</v>
      </c>
      <c r="M29" s="2" t="s">
        <v>179</v>
      </c>
      <c r="N29" s="2" t="s">
        <v>180</v>
      </c>
      <c r="O29" s="6" t="n">
        <v>8</v>
      </c>
      <c r="P29" s="7" t="s">
        <v>72</v>
      </c>
      <c r="Q29" s="8"/>
      <c r="R29" s="8"/>
      <c r="S29" s="2"/>
    </row>
    <row r="30" customFormat="false" ht="23.85" hidden="false" customHeight="false" outlineLevel="0" collapsed="false">
      <c r="A30" s="6" t="s">
        <v>181</v>
      </c>
      <c r="B30" s="6" t="s">
        <v>182</v>
      </c>
      <c r="C30" s="2" t="s">
        <v>183</v>
      </c>
      <c r="D30" s="2" t="s">
        <v>184</v>
      </c>
      <c r="E30" s="2" t="s">
        <v>185</v>
      </c>
      <c r="F30" s="6" t="s">
        <v>186</v>
      </c>
      <c r="G30" s="2" t="s">
        <v>187</v>
      </c>
      <c r="H30" s="2" t="s">
        <v>94</v>
      </c>
      <c r="I30" s="2" t="s">
        <v>188</v>
      </c>
      <c r="J30" s="2" t="s">
        <v>67</v>
      </c>
      <c r="K30" s="6" t="s">
        <v>68</v>
      </c>
      <c r="L30" s="6" t="s">
        <v>69</v>
      </c>
      <c r="M30" s="2" t="s">
        <v>70</v>
      </c>
      <c r="N30" s="2" t="s">
        <v>189</v>
      </c>
      <c r="O30" s="6" t="n">
        <v>0</v>
      </c>
      <c r="P30" s="7" t="s">
        <v>72</v>
      </c>
      <c r="Q30" s="8"/>
      <c r="R30" s="8"/>
      <c r="S30" s="2"/>
    </row>
    <row r="31" customFormat="false" ht="23.85" hidden="false" customHeight="false" outlineLevel="0" collapsed="false">
      <c r="A31" s="6" t="s">
        <v>190</v>
      </c>
      <c r="B31" s="6" t="s">
        <v>182</v>
      </c>
      <c r="C31" s="2" t="s">
        <v>183</v>
      </c>
      <c r="D31" s="2" t="s">
        <v>184</v>
      </c>
      <c r="E31" s="2" t="s">
        <v>191</v>
      </c>
      <c r="F31" s="6" t="s">
        <v>186</v>
      </c>
      <c r="G31" s="2" t="s">
        <v>187</v>
      </c>
      <c r="H31" s="2" t="s">
        <v>75</v>
      </c>
      <c r="I31" s="2" t="s">
        <v>188</v>
      </c>
      <c r="J31" s="2" t="s">
        <v>67</v>
      </c>
      <c r="K31" s="6" t="s">
        <v>68</v>
      </c>
      <c r="L31" s="6" t="s">
        <v>69</v>
      </c>
      <c r="M31" s="2" t="s">
        <v>192</v>
      </c>
      <c r="N31" s="2" t="s">
        <v>193</v>
      </c>
      <c r="O31" s="6" t="n">
        <v>2</v>
      </c>
      <c r="P31" s="7" t="s">
        <v>72</v>
      </c>
      <c r="Q31" s="8"/>
      <c r="R31" s="8"/>
      <c r="S31" s="2"/>
    </row>
    <row r="32" customFormat="false" ht="23.85" hidden="false" customHeight="false" outlineLevel="0" collapsed="false">
      <c r="A32" s="6" t="s">
        <v>193</v>
      </c>
      <c r="B32" s="6" t="s">
        <v>182</v>
      </c>
      <c r="C32" s="2" t="s">
        <v>183</v>
      </c>
      <c r="D32" s="2" t="s">
        <v>184</v>
      </c>
      <c r="E32" s="2" t="s">
        <v>194</v>
      </c>
      <c r="F32" s="6" t="s">
        <v>186</v>
      </c>
      <c r="G32" s="2" t="s">
        <v>187</v>
      </c>
      <c r="H32" s="2" t="s">
        <v>75</v>
      </c>
      <c r="I32" s="2" t="s">
        <v>188</v>
      </c>
      <c r="J32" s="2" t="s">
        <v>67</v>
      </c>
      <c r="K32" s="6" t="s">
        <v>68</v>
      </c>
      <c r="L32" s="6" t="s">
        <v>69</v>
      </c>
      <c r="M32" s="2" t="s">
        <v>190</v>
      </c>
      <c r="N32" s="2" t="s">
        <v>195</v>
      </c>
      <c r="O32" s="6" t="n">
        <v>3</v>
      </c>
      <c r="P32" s="7" t="s">
        <v>72</v>
      </c>
      <c r="Q32" s="8"/>
      <c r="R32" s="8"/>
      <c r="S32" s="2"/>
    </row>
    <row r="33" customFormat="false" ht="23.85" hidden="false" customHeight="false" outlineLevel="0" collapsed="false">
      <c r="A33" s="6" t="s">
        <v>196</v>
      </c>
      <c r="B33" s="6" t="s">
        <v>182</v>
      </c>
      <c r="C33" s="2" t="s">
        <v>183</v>
      </c>
      <c r="D33" s="2" t="s">
        <v>184</v>
      </c>
      <c r="E33" s="2" t="s">
        <v>197</v>
      </c>
      <c r="F33" s="6" t="s">
        <v>186</v>
      </c>
      <c r="G33" s="2" t="s">
        <v>187</v>
      </c>
      <c r="H33" s="2" t="s">
        <v>75</v>
      </c>
      <c r="I33" s="2" t="s">
        <v>188</v>
      </c>
      <c r="J33" s="2" t="s">
        <v>67</v>
      </c>
      <c r="K33" s="6" t="s">
        <v>68</v>
      </c>
      <c r="L33" s="6" t="s">
        <v>69</v>
      </c>
      <c r="M33" s="2" t="s">
        <v>198</v>
      </c>
      <c r="N33" s="2" t="s">
        <v>199</v>
      </c>
      <c r="O33" s="6" t="n">
        <v>4</v>
      </c>
      <c r="P33" s="7" t="s">
        <v>72</v>
      </c>
      <c r="Q33" s="8"/>
      <c r="R33" s="8"/>
      <c r="S33" s="2" t="s">
        <v>200</v>
      </c>
    </row>
    <row r="34" customFormat="false" ht="23.85" hidden="false" customHeight="false" outlineLevel="0" collapsed="false">
      <c r="A34" s="6" t="s">
        <v>201</v>
      </c>
      <c r="B34" s="6" t="s">
        <v>182</v>
      </c>
      <c r="C34" s="2" t="s">
        <v>183</v>
      </c>
      <c r="D34" s="2" t="s">
        <v>184</v>
      </c>
      <c r="E34" s="2" t="s">
        <v>202</v>
      </c>
      <c r="F34" s="6" t="s">
        <v>186</v>
      </c>
      <c r="G34" s="2" t="s">
        <v>187</v>
      </c>
      <c r="H34" s="2" t="s">
        <v>75</v>
      </c>
      <c r="I34" s="2" t="s">
        <v>188</v>
      </c>
      <c r="J34" s="2" t="s">
        <v>67</v>
      </c>
      <c r="K34" s="6" t="s">
        <v>68</v>
      </c>
      <c r="L34" s="6" t="s">
        <v>69</v>
      </c>
      <c r="M34" s="2" t="s">
        <v>193</v>
      </c>
      <c r="N34" s="2" t="s">
        <v>199</v>
      </c>
      <c r="O34" s="6" t="n">
        <v>4</v>
      </c>
      <c r="P34" s="7" t="s">
        <v>72</v>
      </c>
      <c r="Q34" s="8"/>
      <c r="R34" s="8"/>
      <c r="S34" s="2"/>
    </row>
    <row r="35" customFormat="false" ht="23.85" hidden="false" customHeight="false" outlineLevel="0" collapsed="false">
      <c r="A35" s="6" t="s">
        <v>203</v>
      </c>
      <c r="B35" s="6" t="s">
        <v>182</v>
      </c>
      <c r="C35" s="2" t="s">
        <v>183</v>
      </c>
      <c r="D35" s="2" t="s">
        <v>184</v>
      </c>
      <c r="E35" s="2" t="s">
        <v>204</v>
      </c>
      <c r="F35" s="6" t="s">
        <v>186</v>
      </c>
      <c r="G35" s="2" t="s">
        <v>187</v>
      </c>
      <c r="H35" s="2" t="s">
        <v>75</v>
      </c>
      <c r="I35" s="2" t="s">
        <v>188</v>
      </c>
      <c r="J35" s="2" t="s">
        <v>67</v>
      </c>
      <c r="K35" s="6" t="s">
        <v>68</v>
      </c>
      <c r="L35" s="6" t="s">
        <v>69</v>
      </c>
      <c r="M35" s="2" t="s">
        <v>193</v>
      </c>
      <c r="N35" s="2" t="s">
        <v>199</v>
      </c>
      <c r="O35" s="6" t="n">
        <v>4</v>
      </c>
      <c r="P35" s="7" t="s">
        <v>72</v>
      </c>
      <c r="Q35" s="8"/>
      <c r="R35" s="8"/>
      <c r="S35" s="2"/>
    </row>
    <row r="36" customFormat="false" ht="23.85" hidden="false" customHeight="false" outlineLevel="0" collapsed="false">
      <c r="A36" s="6" t="s">
        <v>199</v>
      </c>
      <c r="B36" s="6" t="s">
        <v>182</v>
      </c>
      <c r="C36" s="2" t="s">
        <v>183</v>
      </c>
      <c r="D36" s="2" t="s">
        <v>184</v>
      </c>
      <c r="E36" s="2" t="s">
        <v>205</v>
      </c>
      <c r="F36" s="6" t="s">
        <v>186</v>
      </c>
      <c r="G36" s="2" t="s">
        <v>187</v>
      </c>
      <c r="H36" s="2" t="s">
        <v>108</v>
      </c>
      <c r="I36" s="2" t="s">
        <v>188</v>
      </c>
      <c r="J36" s="2" t="s">
        <v>67</v>
      </c>
      <c r="K36" s="6" t="s">
        <v>68</v>
      </c>
      <c r="L36" s="6" t="s">
        <v>69</v>
      </c>
      <c r="M36" s="2" t="s">
        <v>206</v>
      </c>
      <c r="N36" s="2" t="s">
        <v>180</v>
      </c>
      <c r="O36" s="6" t="n">
        <v>5</v>
      </c>
      <c r="P36" s="7" t="s">
        <v>72</v>
      </c>
      <c r="Q36" s="8"/>
      <c r="R36" s="8"/>
      <c r="S36" s="2"/>
    </row>
    <row r="37" customFormat="false" ht="23.85" hidden="false" customHeight="false" outlineLevel="0" collapsed="false">
      <c r="A37" s="6" t="s">
        <v>207</v>
      </c>
      <c r="B37" s="6" t="s">
        <v>208</v>
      </c>
      <c r="C37" s="2" t="s">
        <v>209</v>
      </c>
      <c r="D37" s="2" t="s">
        <v>184</v>
      </c>
      <c r="E37" s="2" t="s">
        <v>210</v>
      </c>
      <c r="F37" s="6" t="s">
        <v>186</v>
      </c>
      <c r="G37" s="2" t="s">
        <v>187</v>
      </c>
      <c r="H37" s="2" t="s">
        <v>94</v>
      </c>
      <c r="I37" s="2" t="s">
        <v>188</v>
      </c>
      <c r="J37" s="2" t="s">
        <v>67</v>
      </c>
      <c r="K37" s="6" t="s">
        <v>68</v>
      </c>
      <c r="L37" s="6" t="s">
        <v>69</v>
      </c>
      <c r="M37" s="2" t="s">
        <v>181</v>
      </c>
      <c r="N37" s="2" t="s">
        <v>211</v>
      </c>
      <c r="O37" s="6" t="n">
        <v>1</v>
      </c>
      <c r="P37" s="7" t="s">
        <v>72</v>
      </c>
      <c r="Q37" s="8"/>
      <c r="R37" s="8"/>
      <c r="S37" s="2"/>
    </row>
    <row r="38" customFormat="false" ht="23.85" hidden="false" customHeight="false" outlineLevel="0" collapsed="false">
      <c r="A38" s="6" t="s">
        <v>211</v>
      </c>
      <c r="B38" s="6" t="s">
        <v>208</v>
      </c>
      <c r="C38" s="2" t="s">
        <v>209</v>
      </c>
      <c r="D38" s="2" t="s">
        <v>184</v>
      </c>
      <c r="E38" s="2" t="s">
        <v>212</v>
      </c>
      <c r="F38" s="6" t="s">
        <v>186</v>
      </c>
      <c r="G38" s="2" t="s">
        <v>187</v>
      </c>
      <c r="H38" s="2" t="s">
        <v>75</v>
      </c>
      <c r="I38" s="2" t="s">
        <v>188</v>
      </c>
      <c r="J38" s="2" t="s">
        <v>67</v>
      </c>
      <c r="K38" s="6" t="s">
        <v>68</v>
      </c>
      <c r="L38" s="6" t="s">
        <v>69</v>
      </c>
      <c r="M38" s="2" t="s">
        <v>207</v>
      </c>
      <c r="N38" s="2" t="s">
        <v>213</v>
      </c>
      <c r="O38" s="6" t="n">
        <v>2</v>
      </c>
      <c r="P38" s="7" t="s">
        <v>72</v>
      </c>
      <c r="Q38" s="8"/>
      <c r="R38" s="8"/>
      <c r="S38" s="2"/>
    </row>
    <row r="39" customFormat="false" ht="23.85" hidden="false" customHeight="false" outlineLevel="0" collapsed="false">
      <c r="A39" s="6" t="s">
        <v>214</v>
      </c>
      <c r="B39" s="6" t="s">
        <v>208</v>
      </c>
      <c r="C39" s="2" t="s">
        <v>209</v>
      </c>
      <c r="D39" s="2" t="s">
        <v>184</v>
      </c>
      <c r="E39" s="2" t="s">
        <v>215</v>
      </c>
      <c r="F39" s="6" t="s">
        <v>186</v>
      </c>
      <c r="G39" s="2" t="s">
        <v>187</v>
      </c>
      <c r="H39" s="2" t="s">
        <v>75</v>
      </c>
      <c r="I39" s="2" t="s">
        <v>188</v>
      </c>
      <c r="J39" s="2" t="s">
        <v>67</v>
      </c>
      <c r="K39" s="6" t="s">
        <v>68</v>
      </c>
      <c r="L39" s="6" t="s">
        <v>69</v>
      </c>
      <c r="M39" s="2" t="s">
        <v>211</v>
      </c>
      <c r="N39" s="2" t="s">
        <v>216</v>
      </c>
      <c r="O39" s="6" t="n">
        <v>3</v>
      </c>
      <c r="P39" s="7" t="s">
        <v>72</v>
      </c>
      <c r="Q39" s="8"/>
      <c r="R39" s="8"/>
      <c r="S39" s="2" t="s">
        <v>217</v>
      </c>
    </row>
    <row r="40" customFormat="false" ht="23.85" hidden="false" customHeight="false" outlineLevel="0" collapsed="false">
      <c r="A40" s="6" t="s">
        <v>218</v>
      </c>
      <c r="B40" s="6" t="s">
        <v>208</v>
      </c>
      <c r="C40" s="2" t="s">
        <v>209</v>
      </c>
      <c r="D40" s="2" t="s">
        <v>184</v>
      </c>
      <c r="E40" s="2" t="s">
        <v>219</v>
      </c>
      <c r="F40" s="6" t="s">
        <v>186</v>
      </c>
      <c r="G40" s="2" t="s">
        <v>187</v>
      </c>
      <c r="H40" s="2" t="s">
        <v>75</v>
      </c>
      <c r="I40" s="2" t="s">
        <v>188</v>
      </c>
      <c r="J40" s="2" t="s">
        <v>67</v>
      </c>
      <c r="K40" s="6" t="s">
        <v>68</v>
      </c>
      <c r="L40" s="6" t="s">
        <v>69</v>
      </c>
      <c r="M40" s="2" t="s">
        <v>220</v>
      </c>
      <c r="N40" s="2" t="s">
        <v>70</v>
      </c>
      <c r="O40" s="6" t="n">
        <v>4</v>
      </c>
      <c r="P40" s="7" t="s">
        <v>72</v>
      </c>
      <c r="Q40" s="8"/>
      <c r="R40" s="8"/>
      <c r="S40" s="2"/>
    </row>
    <row r="41" customFormat="false" ht="23.85" hidden="false" customHeight="false" outlineLevel="0" collapsed="false">
      <c r="A41" s="6" t="s">
        <v>221</v>
      </c>
      <c r="B41" s="6" t="s">
        <v>222</v>
      </c>
      <c r="C41" s="2" t="s">
        <v>223</v>
      </c>
      <c r="D41" s="2" t="s">
        <v>184</v>
      </c>
      <c r="E41" s="2" t="s">
        <v>224</v>
      </c>
      <c r="F41" s="6" t="s">
        <v>186</v>
      </c>
      <c r="G41" s="2" t="s">
        <v>187</v>
      </c>
      <c r="H41" s="2" t="s">
        <v>75</v>
      </c>
      <c r="I41" s="2" t="s">
        <v>225</v>
      </c>
      <c r="J41" s="2" t="s">
        <v>67</v>
      </c>
      <c r="K41" s="6" t="s">
        <v>68</v>
      </c>
      <c r="L41" s="6" t="s">
        <v>69</v>
      </c>
      <c r="M41" s="2" t="s">
        <v>211</v>
      </c>
      <c r="N41" s="2" t="s">
        <v>226</v>
      </c>
      <c r="O41" s="6" t="n">
        <v>3</v>
      </c>
      <c r="P41" s="7" t="s">
        <v>72</v>
      </c>
      <c r="Q41" s="8"/>
      <c r="R41" s="8"/>
      <c r="S41" s="2"/>
    </row>
    <row r="42" customFormat="false" ht="23.85" hidden="false" customHeight="false" outlineLevel="0" collapsed="false">
      <c r="A42" s="6" t="s">
        <v>226</v>
      </c>
      <c r="B42" s="6" t="s">
        <v>222</v>
      </c>
      <c r="C42" s="2" t="s">
        <v>223</v>
      </c>
      <c r="D42" s="2" t="s">
        <v>184</v>
      </c>
      <c r="E42" s="2" t="s">
        <v>227</v>
      </c>
      <c r="F42" s="6" t="s">
        <v>186</v>
      </c>
      <c r="G42" s="2" t="s">
        <v>187</v>
      </c>
      <c r="H42" s="2" t="s">
        <v>75</v>
      </c>
      <c r="I42" s="2" t="s">
        <v>225</v>
      </c>
      <c r="J42" s="2" t="s">
        <v>67</v>
      </c>
      <c r="K42" s="6" t="s">
        <v>68</v>
      </c>
      <c r="L42" s="6" t="s">
        <v>69</v>
      </c>
      <c r="M42" s="2" t="s">
        <v>221</v>
      </c>
      <c r="N42" s="2" t="s">
        <v>228</v>
      </c>
      <c r="O42" s="6" t="n">
        <v>4</v>
      </c>
      <c r="P42" s="7" t="s">
        <v>72</v>
      </c>
      <c r="Q42" s="8"/>
      <c r="R42" s="8"/>
      <c r="S42" s="2"/>
    </row>
    <row r="43" customFormat="false" ht="23.85" hidden="false" customHeight="false" outlineLevel="0" collapsed="false">
      <c r="A43" s="6" t="s">
        <v>228</v>
      </c>
      <c r="B43" s="6" t="s">
        <v>222</v>
      </c>
      <c r="C43" s="2" t="s">
        <v>223</v>
      </c>
      <c r="D43" s="2" t="s">
        <v>184</v>
      </c>
      <c r="E43" s="2" t="s">
        <v>229</v>
      </c>
      <c r="F43" s="6" t="s">
        <v>186</v>
      </c>
      <c r="G43" s="2" t="s">
        <v>187</v>
      </c>
      <c r="H43" s="2" t="s">
        <v>108</v>
      </c>
      <c r="I43" s="2" t="s">
        <v>225</v>
      </c>
      <c r="J43" s="2" t="s">
        <v>67</v>
      </c>
      <c r="K43" s="6" t="s">
        <v>68</v>
      </c>
      <c r="L43" s="6" t="s">
        <v>69</v>
      </c>
      <c r="M43" s="2" t="s">
        <v>226</v>
      </c>
      <c r="N43" s="2" t="s">
        <v>180</v>
      </c>
      <c r="O43" s="6" t="n">
        <v>5</v>
      </c>
      <c r="P43" s="7" t="s">
        <v>72</v>
      </c>
      <c r="Q43" s="8"/>
      <c r="R43" s="8"/>
      <c r="S43" s="2"/>
    </row>
    <row r="44" customFormat="false" ht="23.85" hidden="false" customHeight="false" outlineLevel="0" collapsed="false">
      <c r="A44" s="6" t="s">
        <v>230</v>
      </c>
      <c r="B44" s="6" t="s">
        <v>231</v>
      </c>
      <c r="C44" s="2" t="s">
        <v>232</v>
      </c>
      <c r="D44" s="2" t="s">
        <v>184</v>
      </c>
      <c r="E44" s="2" t="s">
        <v>233</v>
      </c>
      <c r="F44" s="6" t="s">
        <v>186</v>
      </c>
      <c r="G44" s="2" t="s">
        <v>187</v>
      </c>
      <c r="H44" s="2" t="s">
        <v>75</v>
      </c>
      <c r="I44" s="2" t="s">
        <v>225</v>
      </c>
      <c r="J44" s="2" t="s">
        <v>67</v>
      </c>
      <c r="K44" s="6" t="s">
        <v>68</v>
      </c>
      <c r="L44" s="6" t="s">
        <v>69</v>
      </c>
      <c r="M44" s="2" t="s">
        <v>211</v>
      </c>
      <c r="N44" s="2" t="s">
        <v>234</v>
      </c>
      <c r="O44" s="6" t="n">
        <v>3</v>
      </c>
      <c r="P44" s="7" t="s">
        <v>72</v>
      </c>
      <c r="Q44" s="8"/>
      <c r="R44" s="8"/>
      <c r="S44" s="2" t="s">
        <v>235</v>
      </c>
    </row>
    <row r="45" customFormat="false" ht="23.85" hidden="false" customHeight="false" outlineLevel="0" collapsed="false">
      <c r="A45" s="6" t="s">
        <v>236</v>
      </c>
      <c r="B45" s="6" t="s">
        <v>231</v>
      </c>
      <c r="C45" s="2" t="s">
        <v>232</v>
      </c>
      <c r="D45" s="2" t="s">
        <v>184</v>
      </c>
      <c r="E45" s="2" t="s">
        <v>237</v>
      </c>
      <c r="F45" s="6" t="s">
        <v>186</v>
      </c>
      <c r="G45" s="2" t="s">
        <v>187</v>
      </c>
      <c r="H45" s="2" t="s">
        <v>75</v>
      </c>
      <c r="I45" s="2" t="s">
        <v>225</v>
      </c>
      <c r="J45" s="2" t="s">
        <v>67</v>
      </c>
      <c r="K45" s="6" t="s">
        <v>68</v>
      </c>
      <c r="L45" s="6" t="s">
        <v>69</v>
      </c>
      <c r="M45" s="2" t="s">
        <v>230</v>
      </c>
      <c r="N45" s="2" t="s">
        <v>238</v>
      </c>
      <c r="O45" s="6" t="n">
        <v>4</v>
      </c>
      <c r="P45" s="7" t="s">
        <v>72</v>
      </c>
      <c r="Q45" s="8"/>
      <c r="R45" s="8"/>
      <c r="S45" s="2"/>
    </row>
    <row r="46" customFormat="false" ht="23.85" hidden="false" customHeight="false" outlineLevel="0" collapsed="false">
      <c r="A46" s="6" t="s">
        <v>239</v>
      </c>
      <c r="B46" s="6" t="s">
        <v>231</v>
      </c>
      <c r="C46" s="2" t="s">
        <v>232</v>
      </c>
      <c r="D46" s="2" t="s">
        <v>184</v>
      </c>
      <c r="E46" s="2" t="s">
        <v>240</v>
      </c>
      <c r="F46" s="6" t="s">
        <v>186</v>
      </c>
      <c r="G46" s="2" t="s">
        <v>187</v>
      </c>
      <c r="H46" s="2" t="s">
        <v>75</v>
      </c>
      <c r="I46" s="2" t="s">
        <v>225</v>
      </c>
      <c r="J46" s="2" t="s">
        <v>67</v>
      </c>
      <c r="K46" s="6" t="s">
        <v>68</v>
      </c>
      <c r="L46" s="6" t="s">
        <v>69</v>
      </c>
      <c r="M46" s="2" t="s">
        <v>236</v>
      </c>
      <c r="N46" s="2" t="s">
        <v>241</v>
      </c>
      <c r="O46" s="6" t="n">
        <v>5</v>
      </c>
      <c r="P46" s="7" t="s">
        <v>72</v>
      </c>
      <c r="Q46" s="8"/>
      <c r="R46" s="8"/>
      <c r="S46" s="2" t="s">
        <v>242</v>
      </c>
    </row>
    <row r="47" customFormat="false" ht="23.85" hidden="false" customHeight="false" outlineLevel="0" collapsed="false">
      <c r="A47" s="6" t="s">
        <v>241</v>
      </c>
      <c r="B47" s="6" t="s">
        <v>231</v>
      </c>
      <c r="C47" s="2" t="s">
        <v>232</v>
      </c>
      <c r="D47" s="2" t="s">
        <v>184</v>
      </c>
      <c r="E47" s="2" t="s">
        <v>243</v>
      </c>
      <c r="F47" s="6" t="s">
        <v>186</v>
      </c>
      <c r="G47" s="2" t="s">
        <v>187</v>
      </c>
      <c r="H47" s="2" t="s">
        <v>108</v>
      </c>
      <c r="I47" s="2" t="s">
        <v>225</v>
      </c>
      <c r="J47" s="2" t="s">
        <v>67</v>
      </c>
      <c r="K47" s="6" t="s">
        <v>68</v>
      </c>
      <c r="L47" s="6" t="s">
        <v>69</v>
      </c>
      <c r="M47" s="2" t="s">
        <v>239</v>
      </c>
      <c r="N47" s="2" t="s">
        <v>180</v>
      </c>
      <c r="O47" s="6" t="n">
        <v>6</v>
      </c>
      <c r="P47" s="7" t="s">
        <v>72</v>
      </c>
      <c r="Q47" s="8"/>
      <c r="R47" s="8"/>
      <c r="S47" s="2"/>
    </row>
    <row r="48" customFormat="false" ht="23.85" hidden="false" customHeight="false" outlineLevel="0" collapsed="false">
      <c r="A48" s="6" t="s">
        <v>244</v>
      </c>
      <c r="B48" s="6" t="s">
        <v>245</v>
      </c>
      <c r="C48" s="2" t="s">
        <v>246</v>
      </c>
      <c r="D48" s="2" t="s">
        <v>184</v>
      </c>
      <c r="E48" s="2" t="s">
        <v>247</v>
      </c>
      <c r="F48" s="6" t="s">
        <v>186</v>
      </c>
      <c r="G48" s="2" t="s">
        <v>187</v>
      </c>
      <c r="H48" s="2" t="s">
        <v>75</v>
      </c>
      <c r="I48" s="2" t="s">
        <v>225</v>
      </c>
      <c r="J48" s="2" t="s">
        <v>67</v>
      </c>
      <c r="K48" s="6" t="s">
        <v>68</v>
      </c>
      <c r="L48" s="6" t="s">
        <v>96</v>
      </c>
      <c r="M48" s="2" t="s">
        <v>230</v>
      </c>
      <c r="N48" s="2" t="s">
        <v>248</v>
      </c>
      <c r="O48" s="6" t="n">
        <v>4</v>
      </c>
      <c r="P48" s="7" t="s">
        <v>72</v>
      </c>
      <c r="Q48" s="8"/>
      <c r="R48" s="8"/>
      <c r="S48" s="2" t="s">
        <v>249</v>
      </c>
    </row>
    <row r="49" customFormat="false" ht="23.85" hidden="false" customHeight="false" outlineLevel="0" collapsed="false">
      <c r="A49" s="6" t="s">
        <v>250</v>
      </c>
      <c r="B49" s="6" t="s">
        <v>245</v>
      </c>
      <c r="C49" s="2" t="s">
        <v>246</v>
      </c>
      <c r="D49" s="2" t="s">
        <v>184</v>
      </c>
      <c r="E49" s="2" t="s">
        <v>251</v>
      </c>
      <c r="F49" s="6" t="s">
        <v>186</v>
      </c>
      <c r="G49" s="2" t="s">
        <v>187</v>
      </c>
      <c r="H49" s="2" t="s">
        <v>75</v>
      </c>
      <c r="I49" s="2" t="s">
        <v>225</v>
      </c>
      <c r="J49" s="2" t="s">
        <v>67</v>
      </c>
      <c r="K49" s="6" t="s">
        <v>68</v>
      </c>
      <c r="L49" s="6" t="s">
        <v>96</v>
      </c>
      <c r="M49" s="2" t="s">
        <v>211</v>
      </c>
      <c r="N49" s="2" t="s">
        <v>248</v>
      </c>
      <c r="O49" s="6" t="n">
        <v>3</v>
      </c>
      <c r="P49" s="7" t="s">
        <v>72</v>
      </c>
      <c r="Q49" s="8"/>
      <c r="R49" s="8"/>
      <c r="S49" s="2" t="s">
        <v>252</v>
      </c>
    </row>
    <row r="50" customFormat="false" ht="23.85" hidden="false" customHeight="false" outlineLevel="0" collapsed="false">
      <c r="A50" s="6" t="s">
        <v>248</v>
      </c>
      <c r="B50" s="6" t="s">
        <v>245</v>
      </c>
      <c r="C50" s="2" t="s">
        <v>246</v>
      </c>
      <c r="D50" s="2" t="s">
        <v>184</v>
      </c>
      <c r="E50" s="2" t="s">
        <v>253</v>
      </c>
      <c r="F50" s="6" t="s">
        <v>186</v>
      </c>
      <c r="G50" s="2" t="s">
        <v>187</v>
      </c>
      <c r="H50" s="2" t="s">
        <v>94</v>
      </c>
      <c r="I50" s="2" t="s">
        <v>225</v>
      </c>
      <c r="J50" s="2" t="s">
        <v>67</v>
      </c>
      <c r="K50" s="6" t="s">
        <v>68</v>
      </c>
      <c r="L50" s="6" t="s">
        <v>96</v>
      </c>
      <c r="M50" s="2" t="s">
        <v>254</v>
      </c>
      <c r="N50" s="2" t="s">
        <v>255</v>
      </c>
      <c r="O50" s="6" t="n">
        <v>5</v>
      </c>
      <c r="P50" s="7" t="s">
        <v>72</v>
      </c>
      <c r="Q50" s="8"/>
      <c r="R50" s="8"/>
      <c r="S50" s="2" t="s">
        <v>256</v>
      </c>
    </row>
    <row r="51" customFormat="false" ht="23.85" hidden="false" customHeight="false" outlineLevel="0" collapsed="false">
      <c r="A51" s="6" t="s">
        <v>257</v>
      </c>
      <c r="B51" s="6" t="s">
        <v>245</v>
      </c>
      <c r="C51" s="2" t="s">
        <v>246</v>
      </c>
      <c r="D51" s="2" t="s">
        <v>184</v>
      </c>
      <c r="E51" s="2" t="s">
        <v>258</v>
      </c>
      <c r="F51" s="6" t="s">
        <v>186</v>
      </c>
      <c r="G51" s="2" t="s">
        <v>187</v>
      </c>
      <c r="H51" s="2" t="s">
        <v>108</v>
      </c>
      <c r="I51" s="2" t="s">
        <v>225</v>
      </c>
      <c r="J51" s="2" t="s">
        <v>67</v>
      </c>
      <c r="K51" s="6" t="s">
        <v>68</v>
      </c>
      <c r="L51" s="6" t="s">
        <v>96</v>
      </c>
      <c r="M51" s="2" t="s">
        <v>248</v>
      </c>
      <c r="N51" s="2" t="s">
        <v>259</v>
      </c>
      <c r="O51" s="6" t="n">
        <v>6</v>
      </c>
      <c r="P51" s="7" t="s">
        <v>72</v>
      </c>
      <c r="Q51" s="8"/>
      <c r="R51" s="8"/>
      <c r="S51" s="2"/>
    </row>
    <row r="52" customFormat="false" ht="23.85" hidden="false" customHeight="false" outlineLevel="0" collapsed="false">
      <c r="A52" s="6" t="s">
        <v>260</v>
      </c>
      <c r="B52" s="6" t="s">
        <v>261</v>
      </c>
      <c r="C52" s="2" t="s">
        <v>262</v>
      </c>
      <c r="D52" s="2" t="s">
        <v>184</v>
      </c>
      <c r="E52" s="2" t="s">
        <v>263</v>
      </c>
      <c r="F52" s="6" t="s">
        <v>186</v>
      </c>
      <c r="G52" s="2" t="s">
        <v>187</v>
      </c>
      <c r="H52" s="2" t="s">
        <v>75</v>
      </c>
      <c r="I52" s="2" t="s">
        <v>225</v>
      </c>
      <c r="J52" s="2" t="s">
        <v>67</v>
      </c>
      <c r="K52" s="6" t="s">
        <v>68</v>
      </c>
      <c r="L52" s="6" t="s">
        <v>96</v>
      </c>
      <c r="M52" s="2" t="s">
        <v>264</v>
      </c>
      <c r="N52" s="2" t="s">
        <v>265</v>
      </c>
      <c r="O52" s="6" t="n">
        <v>3</v>
      </c>
      <c r="P52" s="7" t="s">
        <v>72</v>
      </c>
      <c r="Q52" s="8"/>
      <c r="R52" s="8"/>
      <c r="S52" s="2" t="s">
        <v>266</v>
      </c>
    </row>
    <row r="53" customFormat="false" ht="23.85" hidden="false" customHeight="false" outlineLevel="0" collapsed="false">
      <c r="A53" s="6" t="s">
        <v>265</v>
      </c>
      <c r="B53" s="6" t="s">
        <v>261</v>
      </c>
      <c r="C53" s="2" t="s">
        <v>262</v>
      </c>
      <c r="D53" s="2" t="s">
        <v>184</v>
      </c>
      <c r="E53" s="2" t="s">
        <v>267</v>
      </c>
      <c r="F53" s="6" t="s">
        <v>186</v>
      </c>
      <c r="G53" s="2" t="s">
        <v>187</v>
      </c>
      <c r="H53" s="2" t="s">
        <v>75</v>
      </c>
      <c r="I53" s="2" t="s">
        <v>225</v>
      </c>
      <c r="J53" s="2" t="s">
        <v>67</v>
      </c>
      <c r="K53" s="6" t="s">
        <v>68</v>
      </c>
      <c r="L53" s="6" t="s">
        <v>96</v>
      </c>
      <c r="M53" s="2" t="s">
        <v>260</v>
      </c>
      <c r="N53" s="2" t="s">
        <v>268</v>
      </c>
      <c r="O53" s="6" t="n">
        <v>4</v>
      </c>
      <c r="P53" s="7" t="s">
        <v>72</v>
      </c>
      <c r="Q53" s="8"/>
      <c r="R53" s="8"/>
      <c r="S53" s="2" t="s">
        <v>269</v>
      </c>
    </row>
    <row r="54" customFormat="false" ht="23.85" hidden="false" customHeight="false" outlineLevel="0" collapsed="false">
      <c r="A54" s="6" t="s">
        <v>268</v>
      </c>
      <c r="B54" s="6" t="s">
        <v>261</v>
      </c>
      <c r="C54" s="2" t="s">
        <v>262</v>
      </c>
      <c r="D54" s="2" t="s">
        <v>184</v>
      </c>
      <c r="E54" s="2" t="s">
        <v>270</v>
      </c>
      <c r="F54" s="6" t="s">
        <v>186</v>
      </c>
      <c r="G54" s="2" t="s">
        <v>187</v>
      </c>
      <c r="H54" s="2" t="s">
        <v>108</v>
      </c>
      <c r="I54" s="2" t="s">
        <v>225</v>
      </c>
      <c r="J54" s="2" t="s">
        <v>67</v>
      </c>
      <c r="K54" s="6" t="s">
        <v>68</v>
      </c>
      <c r="L54" s="6" t="s">
        <v>96</v>
      </c>
      <c r="M54" s="2" t="s">
        <v>271</v>
      </c>
      <c r="N54" s="2" t="s">
        <v>272</v>
      </c>
      <c r="O54" s="6" t="n">
        <v>5</v>
      </c>
      <c r="P54" s="7" t="s">
        <v>72</v>
      </c>
      <c r="Q54" s="8"/>
      <c r="R54" s="8"/>
      <c r="S54" s="2" t="s">
        <v>273</v>
      </c>
    </row>
    <row r="55" customFormat="false" ht="23.85" hidden="false" customHeight="false" outlineLevel="0" collapsed="false">
      <c r="A55" s="6" t="s">
        <v>274</v>
      </c>
      <c r="B55" s="6" t="s">
        <v>275</v>
      </c>
      <c r="C55" s="2" t="s">
        <v>276</v>
      </c>
      <c r="D55" s="2" t="s">
        <v>277</v>
      </c>
      <c r="E55" s="2" t="s">
        <v>278</v>
      </c>
      <c r="F55" s="6" t="s">
        <v>112</v>
      </c>
      <c r="G55" s="2" t="s">
        <v>113</v>
      </c>
      <c r="H55" s="2" t="s">
        <v>94</v>
      </c>
      <c r="I55" s="2" t="s">
        <v>279</v>
      </c>
      <c r="J55" s="2" t="s">
        <v>67</v>
      </c>
      <c r="K55" s="6" t="s">
        <v>68</v>
      </c>
      <c r="L55" s="6" t="s">
        <v>96</v>
      </c>
      <c r="M55" s="2" t="s">
        <v>70</v>
      </c>
      <c r="N55" s="2" t="s">
        <v>280</v>
      </c>
      <c r="O55" s="6" t="n">
        <v>0</v>
      </c>
      <c r="P55" s="7" t="s">
        <v>72</v>
      </c>
      <c r="Q55" s="8"/>
      <c r="R55" s="8"/>
      <c r="S55" s="2"/>
    </row>
    <row r="56" customFormat="false" ht="23.85" hidden="false" customHeight="false" outlineLevel="0" collapsed="false">
      <c r="A56" s="6" t="s">
        <v>281</v>
      </c>
      <c r="B56" s="6" t="s">
        <v>275</v>
      </c>
      <c r="C56" s="2" t="s">
        <v>276</v>
      </c>
      <c r="D56" s="2" t="s">
        <v>277</v>
      </c>
      <c r="E56" s="2" t="s">
        <v>282</v>
      </c>
      <c r="F56" s="6" t="s">
        <v>112</v>
      </c>
      <c r="G56" s="2" t="s">
        <v>113</v>
      </c>
      <c r="H56" s="2" t="s">
        <v>75</v>
      </c>
      <c r="I56" s="2" t="s">
        <v>279</v>
      </c>
      <c r="J56" s="2" t="s">
        <v>67</v>
      </c>
      <c r="K56" s="6" t="s">
        <v>68</v>
      </c>
      <c r="L56" s="6" t="s">
        <v>96</v>
      </c>
      <c r="M56" s="2" t="s">
        <v>283</v>
      </c>
      <c r="N56" s="2" t="s">
        <v>284</v>
      </c>
      <c r="O56" s="6" t="n">
        <v>2</v>
      </c>
      <c r="P56" s="7" t="s">
        <v>72</v>
      </c>
      <c r="Q56" s="8"/>
      <c r="R56" s="8"/>
      <c r="S56" s="2"/>
    </row>
    <row r="57" customFormat="false" ht="23.85" hidden="false" customHeight="false" outlineLevel="0" collapsed="false">
      <c r="A57" s="6" t="s">
        <v>285</v>
      </c>
      <c r="B57" s="6" t="s">
        <v>275</v>
      </c>
      <c r="C57" s="2" t="s">
        <v>276</v>
      </c>
      <c r="D57" s="2" t="s">
        <v>277</v>
      </c>
      <c r="E57" s="2" t="s">
        <v>286</v>
      </c>
      <c r="F57" s="6" t="s">
        <v>112</v>
      </c>
      <c r="G57" s="2" t="s">
        <v>113</v>
      </c>
      <c r="H57" s="2" t="s">
        <v>75</v>
      </c>
      <c r="I57" s="2" t="s">
        <v>279</v>
      </c>
      <c r="J57" s="2" t="s">
        <v>67</v>
      </c>
      <c r="K57" s="6" t="s">
        <v>68</v>
      </c>
      <c r="L57" s="6" t="s">
        <v>96</v>
      </c>
      <c r="M57" s="2" t="s">
        <v>281</v>
      </c>
      <c r="N57" s="2" t="s">
        <v>287</v>
      </c>
      <c r="O57" s="6" t="n">
        <v>3</v>
      </c>
      <c r="P57" s="7" t="s">
        <v>72</v>
      </c>
      <c r="Q57" s="8"/>
      <c r="R57" s="8"/>
      <c r="S57" s="2" t="s">
        <v>288</v>
      </c>
    </row>
    <row r="58" customFormat="false" ht="23.85" hidden="false" customHeight="false" outlineLevel="0" collapsed="false">
      <c r="A58" s="6" t="s">
        <v>289</v>
      </c>
      <c r="B58" s="6" t="s">
        <v>275</v>
      </c>
      <c r="C58" s="2" t="s">
        <v>276</v>
      </c>
      <c r="D58" s="2" t="s">
        <v>277</v>
      </c>
      <c r="E58" s="2" t="s">
        <v>290</v>
      </c>
      <c r="F58" s="6" t="s">
        <v>112</v>
      </c>
      <c r="G58" s="2" t="s">
        <v>113</v>
      </c>
      <c r="H58" s="2" t="s">
        <v>75</v>
      </c>
      <c r="I58" s="2" t="s">
        <v>279</v>
      </c>
      <c r="J58" s="2" t="s">
        <v>67</v>
      </c>
      <c r="K58" s="6" t="s">
        <v>68</v>
      </c>
      <c r="L58" s="6" t="s">
        <v>96</v>
      </c>
      <c r="M58" s="2" t="s">
        <v>281</v>
      </c>
      <c r="N58" s="2" t="s">
        <v>291</v>
      </c>
      <c r="O58" s="6" t="n">
        <v>3</v>
      </c>
      <c r="P58" s="7" t="s">
        <v>72</v>
      </c>
      <c r="Q58" s="8"/>
      <c r="R58" s="8"/>
      <c r="S58" s="2"/>
    </row>
    <row r="59" customFormat="false" ht="23.85" hidden="false" customHeight="false" outlineLevel="0" collapsed="false">
      <c r="A59" s="6" t="s">
        <v>291</v>
      </c>
      <c r="B59" s="6" t="s">
        <v>275</v>
      </c>
      <c r="C59" s="2" t="s">
        <v>276</v>
      </c>
      <c r="D59" s="2" t="s">
        <v>277</v>
      </c>
      <c r="E59" s="2" t="s">
        <v>292</v>
      </c>
      <c r="F59" s="6" t="s">
        <v>112</v>
      </c>
      <c r="G59" s="2" t="s">
        <v>113</v>
      </c>
      <c r="H59" s="2" t="s">
        <v>94</v>
      </c>
      <c r="I59" s="2" t="s">
        <v>279</v>
      </c>
      <c r="J59" s="2" t="s">
        <v>67</v>
      </c>
      <c r="K59" s="6" t="s">
        <v>68</v>
      </c>
      <c r="L59" s="6" t="s">
        <v>96</v>
      </c>
      <c r="M59" s="2" t="s">
        <v>289</v>
      </c>
      <c r="N59" s="2" t="s">
        <v>287</v>
      </c>
      <c r="O59" s="6" t="n">
        <v>4</v>
      </c>
      <c r="P59" s="7" t="s">
        <v>72</v>
      </c>
      <c r="Q59" s="8"/>
      <c r="R59" s="8"/>
      <c r="S59" s="2"/>
    </row>
    <row r="60" customFormat="false" ht="23.85" hidden="false" customHeight="false" outlineLevel="0" collapsed="false">
      <c r="A60" s="6" t="s">
        <v>287</v>
      </c>
      <c r="B60" s="6" t="s">
        <v>275</v>
      </c>
      <c r="C60" s="2" t="s">
        <v>276</v>
      </c>
      <c r="D60" s="2" t="s">
        <v>277</v>
      </c>
      <c r="E60" s="2" t="s">
        <v>205</v>
      </c>
      <c r="F60" s="6" t="s">
        <v>112</v>
      </c>
      <c r="G60" s="2" t="s">
        <v>113</v>
      </c>
      <c r="H60" s="2" t="s">
        <v>108</v>
      </c>
      <c r="I60" s="2" t="s">
        <v>279</v>
      </c>
      <c r="J60" s="2" t="s">
        <v>67</v>
      </c>
      <c r="K60" s="6" t="s">
        <v>68</v>
      </c>
      <c r="L60" s="6" t="s">
        <v>96</v>
      </c>
      <c r="M60" s="2" t="s">
        <v>293</v>
      </c>
      <c r="N60" s="2" t="s">
        <v>180</v>
      </c>
      <c r="O60" s="6" t="n">
        <v>5</v>
      </c>
      <c r="P60" s="7" t="s">
        <v>72</v>
      </c>
      <c r="Q60" s="8"/>
      <c r="R60" s="8"/>
      <c r="S60" s="2"/>
    </row>
    <row r="61" customFormat="false" ht="23.85" hidden="false" customHeight="false" outlineLevel="0" collapsed="false">
      <c r="A61" s="6" t="s">
        <v>294</v>
      </c>
      <c r="B61" s="6" t="s">
        <v>295</v>
      </c>
      <c r="C61" s="2" t="s">
        <v>296</v>
      </c>
      <c r="D61" s="2" t="s">
        <v>297</v>
      </c>
      <c r="E61" s="2" t="s">
        <v>298</v>
      </c>
      <c r="F61" s="6" t="s">
        <v>299</v>
      </c>
      <c r="G61" s="2" t="s">
        <v>300</v>
      </c>
      <c r="H61" s="2" t="s">
        <v>301</v>
      </c>
      <c r="I61" s="2" t="s">
        <v>301</v>
      </c>
      <c r="J61" s="2" t="s">
        <v>302</v>
      </c>
      <c r="K61" s="6" t="s">
        <v>68</v>
      </c>
      <c r="L61" s="6" t="s">
        <v>96</v>
      </c>
      <c r="M61" s="2" t="s">
        <v>70</v>
      </c>
      <c r="N61" s="2" t="s">
        <v>303</v>
      </c>
      <c r="O61" s="6" t="n">
        <v>0</v>
      </c>
      <c r="P61" s="7" t="s">
        <v>72</v>
      </c>
      <c r="Q61" s="8"/>
      <c r="R61" s="8"/>
      <c r="S61" s="2"/>
    </row>
    <row r="62" customFormat="false" ht="23.85" hidden="false" customHeight="false" outlineLevel="0" collapsed="false">
      <c r="A62" s="6" t="s">
        <v>304</v>
      </c>
      <c r="B62" s="6" t="s">
        <v>295</v>
      </c>
      <c r="C62" s="2" t="s">
        <v>296</v>
      </c>
      <c r="D62" s="2" t="s">
        <v>297</v>
      </c>
      <c r="E62" s="2" t="s">
        <v>305</v>
      </c>
      <c r="F62" s="6" t="s">
        <v>299</v>
      </c>
      <c r="G62" s="2" t="s">
        <v>300</v>
      </c>
      <c r="H62" s="2" t="s">
        <v>301</v>
      </c>
      <c r="I62" s="2" t="s">
        <v>301</v>
      </c>
      <c r="J62" s="2" t="s">
        <v>302</v>
      </c>
      <c r="K62" s="6" t="s">
        <v>68</v>
      </c>
      <c r="L62" s="6" t="s">
        <v>96</v>
      </c>
      <c r="M62" s="2" t="s">
        <v>294</v>
      </c>
      <c r="N62" s="2" t="s">
        <v>70</v>
      </c>
      <c r="O62" s="6" t="n">
        <v>1</v>
      </c>
      <c r="P62" s="7" t="s">
        <v>72</v>
      </c>
      <c r="Q62" s="8"/>
      <c r="R62" s="8"/>
      <c r="S62" s="2"/>
    </row>
    <row r="63" customFormat="false" ht="23.85" hidden="false" customHeight="false" outlineLevel="0" collapsed="false">
      <c r="A63" s="6" t="s">
        <v>306</v>
      </c>
      <c r="B63" s="6" t="s">
        <v>295</v>
      </c>
      <c r="C63" s="2" t="s">
        <v>296</v>
      </c>
      <c r="D63" s="2" t="s">
        <v>297</v>
      </c>
      <c r="E63" s="2" t="s">
        <v>307</v>
      </c>
      <c r="F63" s="6" t="s">
        <v>299</v>
      </c>
      <c r="G63" s="2" t="s">
        <v>300</v>
      </c>
      <c r="H63" s="2" t="s">
        <v>301</v>
      </c>
      <c r="I63" s="2" t="s">
        <v>301</v>
      </c>
      <c r="J63" s="2" t="s">
        <v>302</v>
      </c>
      <c r="K63" s="6" t="s">
        <v>68</v>
      </c>
      <c r="L63" s="6" t="s">
        <v>96</v>
      </c>
      <c r="M63" s="2" t="s">
        <v>308</v>
      </c>
      <c r="N63" s="2" t="s">
        <v>70</v>
      </c>
      <c r="O63" s="6" t="n">
        <v>3</v>
      </c>
      <c r="P63" s="7" t="s">
        <v>72</v>
      </c>
      <c r="Q63" s="8"/>
      <c r="R63" s="8"/>
      <c r="S63" s="2" t="s">
        <v>309</v>
      </c>
    </row>
    <row r="64" customFormat="false" ht="23.85" hidden="false" customHeight="false" outlineLevel="0" collapsed="false">
      <c r="A64" s="6" t="s">
        <v>310</v>
      </c>
      <c r="B64" s="6" t="s">
        <v>295</v>
      </c>
      <c r="C64" s="2" t="s">
        <v>296</v>
      </c>
      <c r="D64" s="2" t="s">
        <v>297</v>
      </c>
      <c r="E64" s="2" t="s">
        <v>311</v>
      </c>
      <c r="F64" s="6" t="s">
        <v>299</v>
      </c>
      <c r="G64" s="2" t="s">
        <v>300</v>
      </c>
      <c r="H64" s="2" t="s">
        <v>301</v>
      </c>
      <c r="I64" s="2" t="s">
        <v>301</v>
      </c>
      <c r="J64" s="2" t="s">
        <v>302</v>
      </c>
      <c r="K64" s="6" t="s">
        <v>68</v>
      </c>
      <c r="L64" s="6" t="s">
        <v>96</v>
      </c>
      <c r="M64" s="2" t="s">
        <v>294</v>
      </c>
      <c r="N64" s="2" t="s">
        <v>312</v>
      </c>
      <c r="O64" s="6" t="n">
        <v>1</v>
      </c>
      <c r="P64" s="7" t="s">
        <v>72</v>
      </c>
      <c r="Q64" s="8"/>
      <c r="R64" s="8"/>
      <c r="S64" s="2"/>
    </row>
    <row r="65" customFormat="false" ht="23.85" hidden="false" customHeight="false" outlineLevel="0" collapsed="false">
      <c r="A65" s="6" t="s">
        <v>313</v>
      </c>
      <c r="B65" s="6" t="s">
        <v>295</v>
      </c>
      <c r="C65" s="2" t="s">
        <v>296</v>
      </c>
      <c r="D65" s="2" t="s">
        <v>297</v>
      </c>
      <c r="E65" s="2" t="s">
        <v>314</v>
      </c>
      <c r="F65" s="6" t="s">
        <v>299</v>
      </c>
      <c r="G65" s="2" t="s">
        <v>300</v>
      </c>
      <c r="H65" s="2" t="s">
        <v>301</v>
      </c>
      <c r="I65" s="2" t="s">
        <v>301</v>
      </c>
      <c r="J65" s="2" t="s">
        <v>302</v>
      </c>
      <c r="K65" s="6" t="s">
        <v>68</v>
      </c>
      <c r="L65" s="6" t="s">
        <v>96</v>
      </c>
      <c r="M65" s="2" t="s">
        <v>70</v>
      </c>
      <c r="N65" s="2" t="s">
        <v>70</v>
      </c>
      <c r="O65" s="6" t="n">
        <v>0</v>
      </c>
      <c r="P65" s="7" t="s">
        <v>72</v>
      </c>
      <c r="Q65" s="8"/>
      <c r="R65" s="8"/>
      <c r="S65" s="2"/>
    </row>
    <row r="66" customFormat="false" ht="23.85" hidden="false" customHeight="false" outlineLevel="0" collapsed="false">
      <c r="A66" s="6" t="s">
        <v>36</v>
      </c>
      <c r="B66" s="6" t="s">
        <v>315</v>
      </c>
      <c r="C66" s="2" t="s">
        <v>316</v>
      </c>
      <c r="D66" s="2" t="s">
        <v>297</v>
      </c>
      <c r="E66" s="2" t="s">
        <v>317</v>
      </c>
      <c r="F66" s="6" t="s">
        <v>299</v>
      </c>
      <c r="G66" s="2" t="s">
        <v>300</v>
      </c>
      <c r="H66" s="2" t="s">
        <v>301</v>
      </c>
      <c r="I66" s="2" t="s">
        <v>301</v>
      </c>
      <c r="J66" s="2" t="s">
        <v>302</v>
      </c>
      <c r="K66" s="6" t="s">
        <v>68</v>
      </c>
      <c r="L66" s="6" t="s">
        <v>69</v>
      </c>
      <c r="M66" s="2" t="s">
        <v>70</v>
      </c>
      <c r="N66" s="2" t="s">
        <v>318</v>
      </c>
      <c r="O66" s="6" t="n">
        <v>0</v>
      </c>
      <c r="P66" s="7" t="s">
        <v>72</v>
      </c>
      <c r="Q66" s="8"/>
      <c r="R66" s="8"/>
      <c r="S66" s="2" t="s">
        <v>319</v>
      </c>
    </row>
    <row r="67" customFormat="false" ht="23.85" hidden="false" customHeight="false" outlineLevel="0" collapsed="false">
      <c r="A67" s="6" t="s">
        <v>312</v>
      </c>
      <c r="B67" s="6" t="s">
        <v>315</v>
      </c>
      <c r="C67" s="2" t="s">
        <v>316</v>
      </c>
      <c r="D67" s="2" t="s">
        <v>297</v>
      </c>
      <c r="E67" s="2" t="s">
        <v>320</v>
      </c>
      <c r="F67" s="6" t="s">
        <v>299</v>
      </c>
      <c r="G67" s="2" t="s">
        <v>300</v>
      </c>
      <c r="H67" s="2" t="s">
        <v>301</v>
      </c>
      <c r="I67" s="2" t="s">
        <v>301</v>
      </c>
      <c r="J67" s="2" t="s">
        <v>302</v>
      </c>
      <c r="K67" s="6" t="s">
        <v>68</v>
      </c>
      <c r="L67" s="6" t="s">
        <v>69</v>
      </c>
      <c r="M67" s="2" t="s">
        <v>321</v>
      </c>
      <c r="N67" s="2" t="s">
        <v>322</v>
      </c>
      <c r="O67" s="6" t="n">
        <v>2</v>
      </c>
      <c r="P67" s="7" t="s">
        <v>72</v>
      </c>
      <c r="Q67" s="8"/>
      <c r="R67" s="8"/>
      <c r="S67" s="2"/>
    </row>
    <row r="68" customFormat="false" ht="23.85" hidden="false" customHeight="false" outlineLevel="0" collapsed="false">
      <c r="A68" s="6" t="s">
        <v>323</v>
      </c>
      <c r="B68" s="6" t="s">
        <v>315</v>
      </c>
      <c r="C68" s="2" t="s">
        <v>316</v>
      </c>
      <c r="D68" s="2" t="s">
        <v>297</v>
      </c>
      <c r="E68" s="2" t="s">
        <v>324</v>
      </c>
      <c r="F68" s="6" t="s">
        <v>299</v>
      </c>
      <c r="G68" s="2" t="s">
        <v>300</v>
      </c>
      <c r="H68" s="2" t="s">
        <v>301</v>
      </c>
      <c r="I68" s="2" t="s">
        <v>301</v>
      </c>
      <c r="J68" s="2" t="s">
        <v>302</v>
      </c>
      <c r="K68" s="6" t="s">
        <v>68</v>
      </c>
      <c r="L68" s="6" t="s">
        <v>69</v>
      </c>
      <c r="M68" s="2" t="s">
        <v>325</v>
      </c>
      <c r="N68" s="2" t="s">
        <v>326</v>
      </c>
      <c r="O68" s="6" t="n">
        <v>4</v>
      </c>
      <c r="P68" s="7" t="s">
        <v>72</v>
      </c>
      <c r="Q68" s="8"/>
      <c r="R68" s="8"/>
      <c r="S68" s="2" t="s">
        <v>327</v>
      </c>
    </row>
    <row r="69" customFormat="false" ht="23.85" hidden="false" customHeight="false" outlineLevel="0" collapsed="false">
      <c r="A69" s="6" t="s">
        <v>328</v>
      </c>
      <c r="B69" s="6" t="s">
        <v>315</v>
      </c>
      <c r="C69" s="2" t="s">
        <v>316</v>
      </c>
      <c r="D69" s="2" t="s">
        <v>297</v>
      </c>
      <c r="E69" s="2" t="s">
        <v>329</v>
      </c>
      <c r="F69" s="6" t="s">
        <v>299</v>
      </c>
      <c r="G69" s="2" t="s">
        <v>300</v>
      </c>
      <c r="H69" s="2" t="s">
        <v>301</v>
      </c>
      <c r="I69" s="2" t="s">
        <v>301</v>
      </c>
      <c r="J69" s="2" t="s">
        <v>302</v>
      </c>
      <c r="K69" s="6" t="s">
        <v>68</v>
      </c>
      <c r="L69" s="6" t="s">
        <v>69</v>
      </c>
      <c r="M69" s="2" t="s">
        <v>312</v>
      </c>
      <c r="N69" s="2" t="s">
        <v>330</v>
      </c>
      <c r="O69" s="6" t="n">
        <v>3</v>
      </c>
      <c r="P69" s="7" t="s">
        <v>72</v>
      </c>
      <c r="Q69" s="8"/>
      <c r="R69" s="8"/>
      <c r="S69" s="2" t="s">
        <v>331</v>
      </c>
    </row>
    <row r="70" customFormat="false" ht="23.85" hidden="false" customHeight="false" outlineLevel="0" collapsed="false">
      <c r="A70" s="6" t="s">
        <v>332</v>
      </c>
      <c r="B70" s="6" t="s">
        <v>315</v>
      </c>
      <c r="C70" s="2" t="s">
        <v>316</v>
      </c>
      <c r="D70" s="2" t="s">
        <v>297</v>
      </c>
      <c r="E70" s="2" t="s">
        <v>333</v>
      </c>
      <c r="F70" s="6" t="s">
        <v>299</v>
      </c>
      <c r="G70" s="2" t="s">
        <v>300</v>
      </c>
      <c r="H70" s="2" t="s">
        <v>301</v>
      </c>
      <c r="I70" s="2" t="s">
        <v>301</v>
      </c>
      <c r="J70" s="2" t="s">
        <v>302</v>
      </c>
      <c r="K70" s="6" t="s">
        <v>68</v>
      </c>
      <c r="L70" s="6" t="s">
        <v>69</v>
      </c>
      <c r="M70" s="2" t="s">
        <v>323</v>
      </c>
      <c r="N70" s="2" t="s">
        <v>334</v>
      </c>
      <c r="O70" s="6" t="n">
        <v>5</v>
      </c>
      <c r="P70" s="7" t="s">
        <v>72</v>
      </c>
      <c r="Q70" s="8"/>
      <c r="R70" s="8"/>
      <c r="S70" s="2" t="s">
        <v>335</v>
      </c>
    </row>
    <row r="71" customFormat="false" ht="46.25" hidden="false" customHeight="false" outlineLevel="0" collapsed="false">
      <c r="A71" s="6" t="s">
        <v>141</v>
      </c>
      <c r="B71" s="6" t="s">
        <v>315</v>
      </c>
      <c r="C71" s="2" t="s">
        <v>316</v>
      </c>
      <c r="D71" s="2" t="s">
        <v>297</v>
      </c>
      <c r="E71" s="2" t="s">
        <v>336</v>
      </c>
      <c r="F71" s="6" t="s">
        <v>299</v>
      </c>
      <c r="G71" s="2" t="s">
        <v>300</v>
      </c>
      <c r="H71" s="2" t="s">
        <v>301</v>
      </c>
      <c r="I71" s="2" t="s">
        <v>301</v>
      </c>
      <c r="J71" s="2" t="s">
        <v>302</v>
      </c>
      <c r="K71" s="6" t="s">
        <v>68</v>
      </c>
      <c r="L71" s="6" t="s">
        <v>69</v>
      </c>
      <c r="M71" s="2" t="s">
        <v>337</v>
      </c>
      <c r="N71" s="2" t="s">
        <v>338</v>
      </c>
      <c r="O71" s="6" t="n">
        <v>9</v>
      </c>
      <c r="P71" s="7" t="s">
        <v>72</v>
      </c>
      <c r="Q71" s="8"/>
      <c r="R71" s="8"/>
      <c r="S71" s="2" t="s">
        <v>339</v>
      </c>
    </row>
    <row r="72" customFormat="false" ht="23.85" hidden="false" customHeight="false" outlineLevel="0" collapsed="false">
      <c r="A72" s="6" t="s">
        <v>340</v>
      </c>
      <c r="B72" s="6" t="s">
        <v>341</v>
      </c>
      <c r="C72" s="2" t="s">
        <v>342</v>
      </c>
      <c r="D72" s="2" t="s">
        <v>108</v>
      </c>
      <c r="E72" s="2" t="s">
        <v>343</v>
      </c>
      <c r="F72" s="6" t="s">
        <v>92</v>
      </c>
      <c r="G72" s="2" t="s">
        <v>93</v>
      </c>
      <c r="H72" s="2" t="s">
        <v>108</v>
      </c>
      <c r="I72" s="2" t="s">
        <v>344</v>
      </c>
      <c r="J72" s="2" t="s">
        <v>345</v>
      </c>
      <c r="K72" s="6" t="s">
        <v>68</v>
      </c>
      <c r="L72" s="6" t="s">
        <v>96</v>
      </c>
      <c r="M72" s="2" t="s">
        <v>294</v>
      </c>
      <c r="N72" s="2" t="s">
        <v>346</v>
      </c>
      <c r="O72" s="6" t="n">
        <v>1</v>
      </c>
      <c r="P72" s="7" t="s">
        <v>72</v>
      </c>
      <c r="Q72" s="8"/>
      <c r="R72" s="8"/>
      <c r="S72" s="2"/>
    </row>
    <row r="73" customFormat="false" ht="23.85" hidden="false" customHeight="false" outlineLevel="0" collapsed="false">
      <c r="A73" s="6" t="s">
        <v>216</v>
      </c>
      <c r="B73" s="6" t="s">
        <v>341</v>
      </c>
      <c r="C73" s="2" t="s">
        <v>342</v>
      </c>
      <c r="D73" s="2" t="s">
        <v>108</v>
      </c>
      <c r="E73" s="2" t="s">
        <v>347</v>
      </c>
      <c r="F73" s="6" t="s">
        <v>92</v>
      </c>
      <c r="G73" s="2" t="s">
        <v>93</v>
      </c>
      <c r="H73" s="2" t="s">
        <v>108</v>
      </c>
      <c r="I73" s="2" t="s">
        <v>344</v>
      </c>
      <c r="J73" s="2" t="s">
        <v>345</v>
      </c>
      <c r="K73" s="6" t="s">
        <v>68</v>
      </c>
      <c r="L73" s="6" t="s">
        <v>96</v>
      </c>
      <c r="M73" s="2" t="s">
        <v>348</v>
      </c>
      <c r="N73" s="2" t="s">
        <v>349</v>
      </c>
      <c r="O73" s="6" t="n">
        <v>4</v>
      </c>
      <c r="P73" s="7" t="s">
        <v>72</v>
      </c>
      <c r="Q73" s="8"/>
      <c r="R73" s="8"/>
      <c r="S73" s="2" t="s">
        <v>350</v>
      </c>
    </row>
    <row r="74" customFormat="false" ht="23.85" hidden="false" customHeight="false" outlineLevel="0" collapsed="false">
      <c r="A74" s="6" t="s">
        <v>351</v>
      </c>
      <c r="B74" s="6" t="s">
        <v>341</v>
      </c>
      <c r="C74" s="2" t="s">
        <v>342</v>
      </c>
      <c r="D74" s="2" t="s">
        <v>108</v>
      </c>
      <c r="E74" s="2" t="s">
        <v>352</v>
      </c>
      <c r="F74" s="6" t="s">
        <v>92</v>
      </c>
      <c r="G74" s="2" t="s">
        <v>93</v>
      </c>
      <c r="H74" s="2" t="s">
        <v>108</v>
      </c>
      <c r="I74" s="2" t="s">
        <v>344</v>
      </c>
      <c r="J74" s="2" t="s">
        <v>345</v>
      </c>
      <c r="K74" s="6" t="s">
        <v>68</v>
      </c>
      <c r="L74" s="6" t="s">
        <v>96</v>
      </c>
      <c r="M74" s="2" t="s">
        <v>353</v>
      </c>
      <c r="N74" s="2" t="s">
        <v>349</v>
      </c>
      <c r="O74" s="6" t="n">
        <v>3</v>
      </c>
      <c r="P74" s="7" t="s">
        <v>72</v>
      </c>
      <c r="Q74" s="8"/>
      <c r="R74" s="8"/>
      <c r="S74" s="2"/>
    </row>
    <row r="75" customFormat="false" ht="23.85" hidden="false" customHeight="false" outlineLevel="0" collapsed="false">
      <c r="A75" s="6" t="s">
        <v>354</v>
      </c>
      <c r="B75" s="6" t="s">
        <v>341</v>
      </c>
      <c r="C75" s="2" t="s">
        <v>342</v>
      </c>
      <c r="D75" s="2" t="s">
        <v>108</v>
      </c>
      <c r="E75" s="2" t="s">
        <v>355</v>
      </c>
      <c r="F75" s="6" t="s">
        <v>92</v>
      </c>
      <c r="G75" s="2" t="s">
        <v>93</v>
      </c>
      <c r="H75" s="2" t="s">
        <v>108</v>
      </c>
      <c r="I75" s="2" t="s">
        <v>344</v>
      </c>
      <c r="J75" s="2" t="s">
        <v>345</v>
      </c>
      <c r="K75" s="6" t="s">
        <v>68</v>
      </c>
      <c r="L75" s="6" t="s">
        <v>96</v>
      </c>
      <c r="M75" s="2" t="s">
        <v>356</v>
      </c>
      <c r="N75" s="2" t="s">
        <v>357</v>
      </c>
      <c r="O75" s="6" t="n">
        <v>9</v>
      </c>
      <c r="P75" s="7" t="s">
        <v>72</v>
      </c>
      <c r="Q75" s="8"/>
      <c r="R75" s="8"/>
      <c r="S75" s="2" t="s">
        <v>358</v>
      </c>
    </row>
    <row r="76" customFormat="false" ht="23.85" hidden="false" customHeight="false" outlineLevel="0" collapsed="false">
      <c r="A76" s="6" t="s">
        <v>122</v>
      </c>
      <c r="B76" s="6" t="s">
        <v>341</v>
      </c>
      <c r="C76" s="2" t="s">
        <v>342</v>
      </c>
      <c r="D76" s="2" t="s">
        <v>108</v>
      </c>
      <c r="E76" s="2" t="s">
        <v>359</v>
      </c>
      <c r="F76" s="6" t="s">
        <v>92</v>
      </c>
      <c r="G76" s="2" t="s">
        <v>93</v>
      </c>
      <c r="H76" s="2" t="s">
        <v>108</v>
      </c>
      <c r="I76" s="2" t="s">
        <v>344</v>
      </c>
      <c r="J76" s="2" t="s">
        <v>345</v>
      </c>
      <c r="K76" s="6" t="s">
        <v>68</v>
      </c>
      <c r="L76" s="6" t="s">
        <v>96</v>
      </c>
      <c r="M76" s="2" t="s">
        <v>360</v>
      </c>
      <c r="N76" s="2" t="s">
        <v>349</v>
      </c>
      <c r="O76" s="6" t="n">
        <v>10</v>
      </c>
      <c r="P76" s="7" t="s">
        <v>72</v>
      </c>
      <c r="Q76" s="8"/>
      <c r="R76" s="8"/>
      <c r="S76" s="2"/>
    </row>
    <row r="77" customFormat="false" ht="23.85" hidden="false" customHeight="false" outlineLevel="0" collapsed="false">
      <c r="A77" s="6" t="s">
        <v>330</v>
      </c>
      <c r="B77" s="6" t="s">
        <v>341</v>
      </c>
      <c r="C77" s="2" t="s">
        <v>342</v>
      </c>
      <c r="D77" s="2" t="s">
        <v>108</v>
      </c>
      <c r="E77" s="2" t="s">
        <v>361</v>
      </c>
      <c r="F77" s="6" t="s">
        <v>92</v>
      </c>
      <c r="G77" s="2" t="s">
        <v>93</v>
      </c>
      <c r="H77" s="2" t="s">
        <v>108</v>
      </c>
      <c r="I77" s="2" t="s">
        <v>344</v>
      </c>
      <c r="J77" s="2" t="s">
        <v>345</v>
      </c>
      <c r="K77" s="6" t="s">
        <v>68</v>
      </c>
      <c r="L77" s="6" t="s">
        <v>96</v>
      </c>
      <c r="M77" s="2" t="s">
        <v>362</v>
      </c>
      <c r="N77" s="2" t="s">
        <v>349</v>
      </c>
      <c r="O77" s="6" t="n">
        <v>10</v>
      </c>
      <c r="P77" s="7" t="s">
        <v>72</v>
      </c>
      <c r="Q77" s="8"/>
      <c r="R77" s="8"/>
      <c r="S77" s="2"/>
    </row>
    <row r="78" customFormat="false" ht="23.85" hidden="false" customHeight="false" outlineLevel="0" collapsed="false">
      <c r="A78" s="6" t="s">
        <v>363</v>
      </c>
      <c r="B78" s="6" t="s">
        <v>341</v>
      </c>
      <c r="C78" s="2" t="s">
        <v>342</v>
      </c>
      <c r="D78" s="2" t="s">
        <v>108</v>
      </c>
      <c r="E78" s="2" t="s">
        <v>364</v>
      </c>
      <c r="F78" s="6" t="s">
        <v>92</v>
      </c>
      <c r="G78" s="2" t="s">
        <v>93</v>
      </c>
      <c r="H78" s="2" t="s">
        <v>108</v>
      </c>
      <c r="I78" s="2" t="s">
        <v>344</v>
      </c>
      <c r="J78" s="2" t="s">
        <v>345</v>
      </c>
      <c r="K78" s="6" t="s">
        <v>68</v>
      </c>
      <c r="L78" s="6" t="s">
        <v>96</v>
      </c>
      <c r="M78" s="2" t="s">
        <v>257</v>
      </c>
      <c r="N78" s="2" t="s">
        <v>349</v>
      </c>
      <c r="O78" s="6" t="n">
        <v>7</v>
      </c>
      <c r="P78" s="7" t="s">
        <v>72</v>
      </c>
      <c r="Q78" s="8"/>
      <c r="R78" s="8"/>
      <c r="S78" s="2"/>
    </row>
    <row r="79" customFormat="false" ht="23.85" hidden="false" customHeight="false" outlineLevel="0" collapsed="false">
      <c r="A79" s="6" t="s">
        <v>365</v>
      </c>
      <c r="B79" s="6" t="s">
        <v>341</v>
      </c>
      <c r="C79" s="2" t="s">
        <v>342</v>
      </c>
      <c r="D79" s="2" t="s">
        <v>108</v>
      </c>
      <c r="E79" s="2" t="s">
        <v>366</v>
      </c>
      <c r="F79" s="6" t="s">
        <v>92</v>
      </c>
      <c r="G79" s="2" t="s">
        <v>93</v>
      </c>
      <c r="H79" s="2" t="s">
        <v>108</v>
      </c>
      <c r="I79" s="2" t="s">
        <v>344</v>
      </c>
      <c r="J79" s="2" t="s">
        <v>345</v>
      </c>
      <c r="K79" s="6" t="s">
        <v>68</v>
      </c>
      <c r="L79" s="6" t="s">
        <v>96</v>
      </c>
      <c r="M79" s="2" t="s">
        <v>367</v>
      </c>
      <c r="N79" s="2" t="s">
        <v>349</v>
      </c>
      <c r="O79" s="6" t="n">
        <v>6</v>
      </c>
      <c r="P79" s="7" t="s">
        <v>72</v>
      </c>
      <c r="Q79" s="8"/>
      <c r="R79" s="8"/>
      <c r="S79" s="2"/>
    </row>
    <row r="80" customFormat="false" ht="35.05" hidden="false" customHeight="false" outlineLevel="0" collapsed="false">
      <c r="A80" s="6" t="s">
        <v>349</v>
      </c>
      <c r="B80" s="6" t="s">
        <v>368</v>
      </c>
      <c r="C80" s="2" t="s">
        <v>369</v>
      </c>
      <c r="D80" s="2" t="s">
        <v>108</v>
      </c>
      <c r="E80" s="2" t="s">
        <v>370</v>
      </c>
      <c r="F80" s="6" t="s">
        <v>92</v>
      </c>
      <c r="G80" s="2" t="s">
        <v>93</v>
      </c>
      <c r="H80" s="2" t="s">
        <v>108</v>
      </c>
      <c r="I80" s="2" t="s">
        <v>371</v>
      </c>
      <c r="J80" s="2" t="s">
        <v>345</v>
      </c>
      <c r="K80" s="6" t="s">
        <v>68</v>
      </c>
      <c r="L80" s="6" t="s">
        <v>69</v>
      </c>
      <c r="M80" s="2" t="s">
        <v>372</v>
      </c>
      <c r="N80" s="2" t="s">
        <v>373</v>
      </c>
      <c r="O80" s="6" t="n">
        <v>11</v>
      </c>
      <c r="P80" s="7" t="s">
        <v>72</v>
      </c>
      <c r="Q80" s="8"/>
      <c r="R80" s="8"/>
      <c r="S80" s="2" t="s">
        <v>374</v>
      </c>
    </row>
    <row r="81" customFormat="false" ht="23.85" hidden="false" customHeight="false" outlineLevel="0" collapsed="false">
      <c r="A81" s="6" t="s">
        <v>375</v>
      </c>
      <c r="B81" s="6" t="s">
        <v>368</v>
      </c>
      <c r="C81" s="2" t="s">
        <v>369</v>
      </c>
      <c r="D81" s="2" t="s">
        <v>108</v>
      </c>
      <c r="E81" s="2" t="s">
        <v>376</v>
      </c>
      <c r="F81" s="6" t="s">
        <v>92</v>
      </c>
      <c r="G81" s="2" t="s">
        <v>93</v>
      </c>
      <c r="H81" s="2" t="s">
        <v>108</v>
      </c>
      <c r="I81" s="2" t="s">
        <v>371</v>
      </c>
      <c r="J81" s="2" t="s">
        <v>345</v>
      </c>
      <c r="K81" s="6" t="s">
        <v>68</v>
      </c>
      <c r="L81" s="6" t="s">
        <v>69</v>
      </c>
      <c r="M81" s="2" t="s">
        <v>349</v>
      </c>
      <c r="N81" s="2" t="s">
        <v>377</v>
      </c>
      <c r="O81" s="6" t="n">
        <v>12</v>
      </c>
      <c r="P81" s="7" t="s">
        <v>72</v>
      </c>
      <c r="Q81" s="8"/>
      <c r="R81" s="8"/>
      <c r="S81" s="2"/>
    </row>
    <row r="82" customFormat="false" ht="23.85" hidden="false" customHeight="false" outlineLevel="0" collapsed="false">
      <c r="A82" s="6" t="s">
        <v>377</v>
      </c>
      <c r="B82" s="6" t="s">
        <v>368</v>
      </c>
      <c r="C82" s="2" t="s">
        <v>369</v>
      </c>
      <c r="D82" s="2" t="s">
        <v>108</v>
      </c>
      <c r="E82" s="2" t="s">
        <v>378</v>
      </c>
      <c r="F82" s="6" t="s">
        <v>92</v>
      </c>
      <c r="G82" s="2" t="s">
        <v>93</v>
      </c>
      <c r="H82" s="2" t="s">
        <v>65</v>
      </c>
      <c r="I82" s="2" t="s">
        <v>371</v>
      </c>
      <c r="J82" s="2" t="s">
        <v>345</v>
      </c>
      <c r="K82" s="6" t="s">
        <v>68</v>
      </c>
      <c r="L82" s="6" t="s">
        <v>69</v>
      </c>
      <c r="M82" s="2" t="s">
        <v>379</v>
      </c>
      <c r="N82" s="2" t="s">
        <v>380</v>
      </c>
      <c r="O82" s="6" t="n">
        <v>13</v>
      </c>
      <c r="P82" s="7" t="s">
        <v>72</v>
      </c>
      <c r="Q82" s="8"/>
      <c r="R82" s="8"/>
      <c r="S82" s="2" t="s">
        <v>381</v>
      </c>
    </row>
    <row r="83" customFormat="false" ht="23.85" hidden="false" customHeight="false" outlineLevel="0" collapsed="false">
      <c r="A83" s="6" t="s">
        <v>382</v>
      </c>
      <c r="B83" s="6" t="s">
        <v>383</v>
      </c>
      <c r="C83" s="2" t="s">
        <v>384</v>
      </c>
      <c r="D83" s="2" t="s">
        <v>385</v>
      </c>
      <c r="E83" s="2" t="s">
        <v>386</v>
      </c>
      <c r="F83" s="6" t="s">
        <v>387</v>
      </c>
      <c r="G83" s="2" t="s">
        <v>388</v>
      </c>
      <c r="H83" s="2" t="s">
        <v>75</v>
      </c>
      <c r="I83" s="2" t="s">
        <v>389</v>
      </c>
      <c r="J83" s="2" t="s">
        <v>67</v>
      </c>
      <c r="K83" s="6" t="s">
        <v>390</v>
      </c>
      <c r="L83" s="6" t="s">
        <v>96</v>
      </c>
      <c r="M83" s="2" t="s">
        <v>165</v>
      </c>
      <c r="N83" s="2" t="s">
        <v>391</v>
      </c>
      <c r="O83" s="6" t="n">
        <v>6</v>
      </c>
      <c r="P83" s="7" t="s">
        <v>72</v>
      </c>
      <c r="Q83" s="8"/>
      <c r="R83" s="8"/>
      <c r="S83" s="2"/>
    </row>
    <row r="84" customFormat="false" ht="23.85" hidden="false" customHeight="false" outlineLevel="0" collapsed="false">
      <c r="A84" s="6" t="s">
        <v>391</v>
      </c>
      <c r="B84" s="6" t="s">
        <v>383</v>
      </c>
      <c r="C84" s="2" t="s">
        <v>384</v>
      </c>
      <c r="D84" s="2" t="s">
        <v>385</v>
      </c>
      <c r="E84" s="2" t="s">
        <v>392</v>
      </c>
      <c r="F84" s="6" t="s">
        <v>387</v>
      </c>
      <c r="G84" s="2" t="s">
        <v>388</v>
      </c>
      <c r="H84" s="2" t="s">
        <v>75</v>
      </c>
      <c r="I84" s="2" t="s">
        <v>389</v>
      </c>
      <c r="J84" s="2" t="s">
        <v>67</v>
      </c>
      <c r="K84" s="6" t="s">
        <v>390</v>
      </c>
      <c r="L84" s="6" t="s">
        <v>96</v>
      </c>
      <c r="M84" s="2" t="s">
        <v>393</v>
      </c>
      <c r="N84" s="2" t="s">
        <v>394</v>
      </c>
      <c r="O84" s="6" t="n">
        <v>7</v>
      </c>
      <c r="P84" s="7" t="s">
        <v>72</v>
      </c>
      <c r="Q84" s="8"/>
      <c r="R84" s="8"/>
      <c r="S84" s="2"/>
    </row>
    <row r="85" customFormat="false" ht="23.85" hidden="false" customHeight="false" outlineLevel="0" collapsed="false">
      <c r="A85" s="6" t="s">
        <v>394</v>
      </c>
      <c r="B85" s="6" t="s">
        <v>383</v>
      </c>
      <c r="C85" s="2" t="s">
        <v>384</v>
      </c>
      <c r="D85" s="2" t="s">
        <v>385</v>
      </c>
      <c r="E85" s="2" t="s">
        <v>395</v>
      </c>
      <c r="F85" s="6" t="s">
        <v>387</v>
      </c>
      <c r="G85" s="2" t="s">
        <v>388</v>
      </c>
      <c r="H85" s="2" t="s">
        <v>75</v>
      </c>
      <c r="I85" s="2" t="s">
        <v>389</v>
      </c>
      <c r="J85" s="2" t="s">
        <v>67</v>
      </c>
      <c r="K85" s="6" t="s">
        <v>390</v>
      </c>
      <c r="L85" s="6" t="s">
        <v>96</v>
      </c>
      <c r="M85" s="2" t="s">
        <v>391</v>
      </c>
      <c r="N85" s="2" t="s">
        <v>396</v>
      </c>
      <c r="O85" s="6" t="n">
        <v>8</v>
      </c>
      <c r="P85" s="7" t="s">
        <v>72</v>
      </c>
      <c r="Q85" s="8"/>
      <c r="R85" s="8"/>
      <c r="S85" s="2" t="s">
        <v>397</v>
      </c>
    </row>
    <row r="86" customFormat="false" ht="23.85" hidden="false" customHeight="false" outlineLevel="0" collapsed="false">
      <c r="A86" s="6" t="s">
        <v>396</v>
      </c>
      <c r="B86" s="6" t="s">
        <v>383</v>
      </c>
      <c r="C86" s="2" t="s">
        <v>384</v>
      </c>
      <c r="D86" s="2" t="s">
        <v>385</v>
      </c>
      <c r="E86" s="2" t="s">
        <v>398</v>
      </c>
      <c r="F86" s="6" t="s">
        <v>387</v>
      </c>
      <c r="G86" s="2" t="s">
        <v>388</v>
      </c>
      <c r="H86" s="2" t="s">
        <v>108</v>
      </c>
      <c r="I86" s="2" t="s">
        <v>389</v>
      </c>
      <c r="J86" s="2" t="s">
        <v>67</v>
      </c>
      <c r="K86" s="6" t="s">
        <v>390</v>
      </c>
      <c r="L86" s="6" t="s">
        <v>96</v>
      </c>
      <c r="M86" s="2" t="s">
        <v>394</v>
      </c>
      <c r="N86" s="2" t="s">
        <v>70</v>
      </c>
      <c r="O86" s="6" t="n">
        <v>9</v>
      </c>
      <c r="P86" s="7" t="s">
        <v>72</v>
      </c>
      <c r="Q86" s="8"/>
      <c r="R86" s="8"/>
      <c r="S86" s="2"/>
    </row>
    <row r="87" customFormat="false" ht="23.85" hidden="false" customHeight="false" outlineLevel="0" collapsed="false">
      <c r="A87" s="6" t="s">
        <v>399</v>
      </c>
      <c r="B87" s="6" t="s">
        <v>400</v>
      </c>
      <c r="C87" s="2" t="s">
        <v>401</v>
      </c>
      <c r="D87" s="2" t="s">
        <v>402</v>
      </c>
      <c r="E87" s="2" t="s">
        <v>403</v>
      </c>
      <c r="F87" s="6" t="s">
        <v>63</v>
      </c>
      <c r="G87" s="2" t="s">
        <v>64</v>
      </c>
      <c r="H87" s="2" t="s">
        <v>65</v>
      </c>
      <c r="I87" s="2" t="s">
        <v>371</v>
      </c>
      <c r="J87" s="2" t="s">
        <v>404</v>
      </c>
      <c r="K87" s="6" t="s">
        <v>68</v>
      </c>
      <c r="L87" s="6" t="s">
        <v>96</v>
      </c>
      <c r="M87" s="2" t="s">
        <v>70</v>
      </c>
      <c r="N87" s="2" t="s">
        <v>405</v>
      </c>
      <c r="O87" s="6" t="n">
        <v>0</v>
      </c>
      <c r="P87" s="7" t="s">
        <v>72</v>
      </c>
      <c r="Q87" s="8"/>
      <c r="R87" s="8"/>
      <c r="S87" s="2"/>
    </row>
    <row r="88" customFormat="false" ht="23.85" hidden="false" customHeight="false" outlineLevel="0" collapsed="false">
      <c r="A88" s="6" t="s">
        <v>405</v>
      </c>
      <c r="B88" s="6" t="s">
        <v>400</v>
      </c>
      <c r="C88" s="2" t="s">
        <v>401</v>
      </c>
      <c r="D88" s="2" t="s">
        <v>402</v>
      </c>
      <c r="E88" s="2" t="s">
        <v>406</v>
      </c>
      <c r="F88" s="6" t="s">
        <v>63</v>
      </c>
      <c r="G88" s="2" t="s">
        <v>64</v>
      </c>
      <c r="H88" s="2" t="s">
        <v>65</v>
      </c>
      <c r="I88" s="2" t="s">
        <v>371</v>
      </c>
      <c r="J88" s="2" t="s">
        <v>404</v>
      </c>
      <c r="K88" s="6" t="s">
        <v>68</v>
      </c>
      <c r="L88" s="6" t="s">
        <v>96</v>
      </c>
      <c r="M88" s="2" t="s">
        <v>399</v>
      </c>
      <c r="N88" s="2" t="s">
        <v>407</v>
      </c>
      <c r="O88" s="6" t="n">
        <v>1</v>
      </c>
      <c r="P88" s="7" t="s">
        <v>72</v>
      </c>
      <c r="Q88" s="8"/>
      <c r="R88" s="8"/>
      <c r="S88" s="2"/>
    </row>
    <row r="89" customFormat="false" ht="23.85" hidden="false" customHeight="false" outlineLevel="0" collapsed="false">
      <c r="A89" s="6" t="s">
        <v>408</v>
      </c>
      <c r="B89" s="6" t="s">
        <v>400</v>
      </c>
      <c r="C89" s="2" t="s">
        <v>401</v>
      </c>
      <c r="D89" s="2" t="s">
        <v>402</v>
      </c>
      <c r="E89" s="2" t="s">
        <v>409</v>
      </c>
      <c r="F89" s="6" t="s">
        <v>63</v>
      </c>
      <c r="G89" s="2" t="s">
        <v>64</v>
      </c>
      <c r="H89" s="2" t="s">
        <v>65</v>
      </c>
      <c r="I89" s="2" t="s">
        <v>371</v>
      </c>
      <c r="J89" s="2" t="s">
        <v>404</v>
      </c>
      <c r="K89" s="6" t="s">
        <v>68</v>
      </c>
      <c r="L89" s="6" t="s">
        <v>96</v>
      </c>
      <c r="M89" s="2" t="s">
        <v>410</v>
      </c>
      <c r="N89" s="2" t="s">
        <v>411</v>
      </c>
      <c r="O89" s="6" t="n">
        <v>3</v>
      </c>
      <c r="P89" s="7" t="s">
        <v>72</v>
      </c>
      <c r="Q89" s="8"/>
      <c r="R89" s="8"/>
      <c r="S89" s="2" t="s">
        <v>412</v>
      </c>
    </row>
    <row r="90" customFormat="false" ht="23.85" hidden="false" customHeight="false" outlineLevel="0" collapsed="false">
      <c r="A90" s="6" t="s">
        <v>413</v>
      </c>
      <c r="B90" s="6" t="s">
        <v>414</v>
      </c>
      <c r="C90" s="2" t="s">
        <v>415</v>
      </c>
      <c r="D90" s="2" t="s">
        <v>402</v>
      </c>
      <c r="E90" s="2" t="s">
        <v>416</v>
      </c>
      <c r="F90" s="6" t="s">
        <v>63</v>
      </c>
      <c r="G90" s="2" t="s">
        <v>64</v>
      </c>
      <c r="H90" s="2" t="s">
        <v>65</v>
      </c>
      <c r="I90" s="2" t="s">
        <v>371</v>
      </c>
      <c r="J90" s="2" t="s">
        <v>404</v>
      </c>
      <c r="K90" s="6" t="s">
        <v>68</v>
      </c>
      <c r="L90" s="6" t="s">
        <v>96</v>
      </c>
      <c r="M90" s="2" t="s">
        <v>70</v>
      </c>
      <c r="N90" s="2" t="s">
        <v>417</v>
      </c>
      <c r="O90" s="6" t="n">
        <v>0</v>
      </c>
      <c r="P90" s="7" t="s">
        <v>72</v>
      </c>
      <c r="Q90" s="8"/>
      <c r="R90" s="8"/>
      <c r="S90" s="2"/>
    </row>
    <row r="91" customFormat="false" ht="23.85" hidden="false" customHeight="false" outlineLevel="0" collapsed="false">
      <c r="A91" s="6" t="s">
        <v>417</v>
      </c>
      <c r="B91" s="6" t="s">
        <v>414</v>
      </c>
      <c r="C91" s="2" t="s">
        <v>415</v>
      </c>
      <c r="D91" s="2" t="s">
        <v>402</v>
      </c>
      <c r="E91" s="2" t="s">
        <v>418</v>
      </c>
      <c r="F91" s="6" t="s">
        <v>63</v>
      </c>
      <c r="G91" s="2" t="s">
        <v>64</v>
      </c>
      <c r="H91" s="2" t="s">
        <v>65</v>
      </c>
      <c r="I91" s="2" t="s">
        <v>371</v>
      </c>
      <c r="J91" s="2" t="s">
        <v>404</v>
      </c>
      <c r="K91" s="6" t="s">
        <v>68</v>
      </c>
      <c r="L91" s="6" t="s">
        <v>96</v>
      </c>
      <c r="M91" s="2" t="s">
        <v>413</v>
      </c>
      <c r="N91" s="2" t="s">
        <v>419</v>
      </c>
      <c r="O91" s="6" t="n">
        <v>1</v>
      </c>
      <c r="P91" s="7" t="s">
        <v>72</v>
      </c>
      <c r="Q91" s="8"/>
      <c r="R91" s="8"/>
      <c r="S91" s="2"/>
    </row>
    <row r="92" customFormat="false" ht="23.85" hidden="false" customHeight="false" outlineLevel="0" collapsed="false">
      <c r="A92" s="6" t="s">
        <v>420</v>
      </c>
      <c r="B92" s="6" t="s">
        <v>414</v>
      </c>
      <c r="C92" s="2" t="s">
        <v>415</v>
      </c>
      <c r="D92" s="2" t="s">
        <v>402</v>
      </c>
      <c r="E92" s="2" t="s">
        <v>421</v>
      </c>
      <c r="F92" s="6" t="s">
        <v>63</v>
      </c>
      <c r="G92" s="2" t="s">
        <v>64</v>
      </c>
      <c r="H92" s="2" t="s">
        <v>65</v>
      </c>
      <c r="I92" s="2" t="s">
        <v>371</v>
      </c>
      <c r="J92" s="2" t="s">
        <v>404</v>
      </c>
      <c r="K92" s="6" t="s">
        <v>68</v>
      </c>
      <c r="L92" s="6" t="s">
        <v>96</v>
      </c>
      <c r="M92" s="2" t="s">
        <v>422</v>
      </c>
      <c r="N92" s="2" t="s">
        <v>423</v>
      </c>
      <c r="O92" s="6" t="n">
        <v>3</v>
      </c>
      <c r="P92" s="7" t="s">
        <v>72</v>
      </c>
      <c r="Q92" s="8"/>
      <c r="R92" s="8"/>
      <c r="S92" s="2"/>
    </row>
    <row r="93" customFormat="false" ht="23.85" hidden="false" customHeight="false" outlineLevel="0" collapsed="false">
      <c r="A93" s="6" t="s">
        <v>424</v>
      </c>
      <c r="B93" s="6" t="s">
        <v>425</v>
      </c>
      <c r="C93" s="2" t="s">
        <v>426</v>
      </c>
      <c r="D93" s="2" t="s">
        <v>402</v>
      </c>
      <c r="E93" s="2" t="s">
        <v>427</v>
      </c>
      <c r="F93" s="6" t="s">
        <v>63</v>
      </c>
      <c r="G93" s="2" t="s">
        <v>64</v>
      </c>
      <c r="H93" s="2" t="s">
        <v>428</v>
      </c>
      <c r="I93" s="2" t="s">
        <v>371</v>
      </c>
      <c r="J93" s="2" t="s">
        <v>429</v>
      </c>
      <c r="K93" s="6" t="s">
        <v>68</v>
      </c>
      <c r="L93" s="6" t="s">
        <v>96</v>
      </c>
      <c r="M93" s="2" t="s">
        <v>408</v>
      </c>
      <c r="N93" s="2" t="s">
        <v>430</v>
      </c>
      <c r="O93" s="6" t="n">
        <v>4</v>
      </c>
      <c r="P93" s="7" t="s">
        <v>72</v>
      </c>
      <c r="Q93" s="8"/>
      <c r="R93" s="8"/>
      <c r="S93" s="2"/>
    </row>
    <row r="94" customFormat="false" ht="23.85" hidden="false" customHeight="false" outlineLevel="0" collapsed="false">
      <c r="A94" s="6" t="s">
        <v>430</v>
      </c>
      <c r="B94" s="6" t="s">
        <v>425</v>
      </c>
      <c r="C94" s="2" t="s">
        <v>426</v>
      </c>
      <c r="D94" s="2" t="s">
        <v>402</v>
      </c>
      <c r="E94" s="2" t="s">
        <v>431</v>
      </c>
      <c r="F94" s="6" t="s">
        <v>63</v>
      </c>
      <c r="G94" s="2" t="s">
        <v>64</v>
      </c>
      <c r="H94" s="2" t="s">
        <v>428</v>
      </c>
      <c r="I94" s="2" t="s">
        <v>371</v>
      </c>
      <c r="J94" s="2" t="s">
        <v>429</v>
      </c>
      <c r="K94" s="6" t="s">
        <v>68</v>
      </c>
      <c r="L94" s="6" t="s">
        <v>96</v>
      </c>
      <c r="M94" s="2" t="s">
        <v>424</v>
      </c>
      <c r="N94" s="2" t="s">
        <v>432</v>
      </c>
      <c r="O94" s="6" t="n">
        <v>5</v>
      </c>
      <c r="P94" s="7" t="s">
        <v>72</v>
      </c>
      <c r="Q94" s="8"/>
      <c r="R94" s="8"/>
      <c r="S94" s="2"/>
    </row>
    <row r="95" customFormat="false" ht="23.85" hidden="false" customHeight="false" outlineLevel="0" collapsed="false">
      <c r="A95" s="6" t="s">
        <v>433</v>
      </c>
      <c r="B95" s="6" t="s">
        <v>425</v>
      </c>
      <c r="C95" s="2" t="s">
        <v>426</v>
      </c>
      <c r="D95" s="2" t="s">
        <v>402</v>
      </c>
      <c r="E95" s="2" t="s">
        <v>434</v>
      </c>
      <c r="F95" s="6" t="s">
        <v>63</v>
      </c>
      <c r="G95" s="2" t="s">
        <v>64</v>
      </c>
      <c r="H95" s="2" t="s">
        <v>428</v>
      </c>
      <c r="I95" s="2" t="s">
        <v>371</v>
      </c>
      <c r="J95" s="2" t="s">
        <v>429</v>
      </c>
      <c r="K95" s="6" t="s">
        <v>68</v>
      </c>
      <c r="L95" s="6" t="s">
        <v>96</v>
      </c>
      <c r="M95" s="2" t="s">
        <v>430</v>
      </c>
      <c r="N95" s="2" t="s">
        <v>435</v>
      </c>
      <c r="O95" s="6" t="n">
        <v>6</v>
      </c>
      <c r="P95" s="7" t="s">
        <v>72</v>
      </c>
      <c r="Q95" s="8"/>
      <c r="R95" s="8"/>
      <c r="S95" s="2"/>
    </row>
    <row r="96" customFormat="false" ht="23.85" hidden="false" customHeight="false" outlineLevel="0" collapsed="false">
      <c r="A96" s="6" t="s">
        <v>436</v>
      </c>
      <c r="B96" s="6" t="s">
        <v>425</v>
      </c>
      <c r="C96" s="2" t="s">
        <v>426</v>
      </c>
      <c r="D96" s="2" t="s">
        <v>402</v>
      </c>
      <c r="E96" s="2" t="s">
        <v>437</v>
      </c>
      <c r="F96" s="6" t="s">
        <v>63</v>
      </c>
      <c r="G96" s="2" t="s">
        <v>64</v>
      </c>
      <c r="H96" s="2" t="s">
        <v>428</v>
      </c>
      <c r="I96" s="2" t="s">
        <v>371</v>
      </c>
      <c r="J96" s="2" t="s">
        <v>429</v>
      </c>
      <c r="K96" s="6" t="s">
        <v>68</v>
      </c>
      <c r="L96" s="6" t="s">
        <v>96</v>
      </c>
      <c r="M96" s="2" t="s">
        <v>438</v>
      </c>
      <c r="N96" s="2" t="s">
        <v>439</v>
      </c>
      <c r="O96" s="6" t="n">
        <v>6</v>
      </c>
      <c r="P96" s="7" t="s">
        <v>72</v>
      </c>
      <c r="Q96" s="8"/>
      <c r="R96" s="8"/>
      <c r="S96" s="2"/>
    </row>
    <row r="97" customFormat="false" ht="23.85" hidden="false" customHeight="false" outlineLevel="0" collapsed="false">
      <c r="A97" s="6" t="s">
        <v>435</v>
      </c>
      <c r="B97" s="6" t="s">
        <v>425</v>
      </c>
      <c r="C97" s="2" t="s">
        <v>426</v>
      </c>
      <c r="D97" s="2" t="s">
        <v>402</v>
      </c>
      <c r="E97" s="2" t="s">
        <v>440</v>
      </c>
      <c r="F97" s="6" t="s">
        <v>63</v>
      </c>
      <c r="G97" s="2" t="s">
        <v>64</v>
      </c>
      <c r="H97" s="2" t="s">
        <v>428</v>
      </c>
      <c r="I97" s="2" t="s">
        <v>371</v>
      </c>
      <c r="J97" s="2" t="s">
        <v>429</v>
      </c>
      <c r="K97" s="6" t="s">
        <v>68</v>
      </c>
      <c r="L97" s="6" t="s">
        <v>96</v>
      </c>
      <c r="M97" s="2" t="s">
        <v>441</v>
      </c>
      <c r="N97" s="2" t="s">
        <v>442</v>
      </c>
      <c r="O97" s="6" t="n">
        <v>7</v>
      </c>
      <c r="P97" s="7" t="s">
        <v>72</v>
      </c>
      <c r="Q97" s="8"/>
      <c r="R97" s="8"/>
      <c r="S97" s="2" t="s">
        <v>443</v>
      </c>
    </row>
    <row r="98" customFormat="false" ht="23.85" hidden="false" customHeight="false" outlineLevel="0" collapsed="false">
      <c r="A98" s="6" t="s">
        <v>442</v>
      </c>
      <c r="B98" s="6" t="s">
        <v>425</v>
      </c>
      <c r="C98" s="2" t="s">
        <v>426</v>
      </c>
      <c r="D98" s="2" t="s">
        <v>402</v>
      </c>
      <c r="E98" s="2" t="s">
        <v>444</v>
      </c>
      <c r="F98" s="6" t="s">
        <v>63</v>
      </c>
      <c r="G98" s="2" t="s">
        <v>64</v>
      </c>
      <c r="H98" s="2" t="s">
        <v>65</v>
      </c>
      <c r="I98" s="2" t="s">
        <v>371</v>
      </c>
      <c r="J98" s="2" t="s">
        <v>429</v>
      </c>
      <c r="K98" s="6" t="s">
        <v>68</v>
      </c>
      <c r="L98" s="6" t="s">
        <v>96</v>
      </c>
      <c r="M98" s="2" t="s">
        <v>445</v>
      </c>
      <c r="N98" s="2" t="s">
        <v>446</v>
      </c>
      <c r="O98" s="6" t="n">
        <v>10</v>
      </c>
      <c r="P98" s="7" t="s">
        <v>72</v>
      </c>
      <c r="Q98" s="8"/>
      <c r="R98" s="8"/>
      <c r="S98" s="2" t="s">
        <v>381</v>
      </c>
    </row>
    <row r="99" customFormat="false" ht="23.85" hidden="false" customHeight="false" outlineLevel="0" collapsed="false">
      <c r="A99" s="6" t="s">
        <v>447</v>
      </c>
      <c r="B99" s="6" t="s">
        <v>425</v>
      </c>
      <c r="C99" s="2" t="s">
        <v>426</v>
      </c>
      <c r="D99" s="2" t="s">
        <v>402</v>
      </c>
      <c r="E99" s="2" t="s">
        <v>448</v>
      </c>
      <c r="F99" s="6" t="s">
        <v>63</v>
      </c>
      <c r="G99" s="2" t="s">
        <v>64</v>
      </c>
      <c r="H99" s="2" t="s">
        <v>428</v>
      </c>
      <c r="I99" s="2" t="s">
        <v>371</v>
      </c>
      <c r="J99" s="2" t="s">
        <v>429</v>
      </c>
      <c r="K99" s="6" t="s">
        <v>68</v>
      </c>
      <c r="L99" s="6" t="s">
        <v>96</v>
      </c>
      <c r="M99" s="2" t="s">
        <v>430</v>
      </c>
      <c r="N99" s="2" t="s">
        <v>449</v>
      </c>
      <c r="O99" s="6" t="n">
        <v>6</v>
      </c>
      <c r="P99" s="7" t="s">
        <v>72</v>
      </c>
      <c r="Q99" s="8"/>
      <c r="R99" s="8"/>
      <c r="S99" s="2"/>
    </row>
    <row r="100" customFormat="false" ht="23.85" hidden="false" customHeight="false" outlineLevel="0" collapsed="false">
      <c r="A100" s="6" t="s">
        <v>450</v>
      </c>
      <c r="B100" s="6" t="s">
        <v>451</v>
      </c>
      <c r="C100" s="2" t="s">
        <v>452</v>
      </c>
      <c r="D100" s="2" t="s">
        <v>371</v>
      </c>
      <c r="E100" s="2" t="s">
        <v>453</v>
      </c>
      <c r="F100" s="6" t="s">
        <v>63</v>
      </c>
      <c r="G100" s="2" t="s">
        <v>64</v>
      </c>
      <c r="H100" s="2" t="s">
        <v>65</v>
      </c>
      <c r="I100" s="2" t="s">
        <v>371</v>
      </c>
      <c r="J100" s="2" t="s">
        <v>452</v>
      </c>
      <c r="K100" s="6" t="s">
        <v>68</v>
      </c>
      <c r="L100" s="6" t="s">
        <v>96</v>
      </c>
      <c r="M100" s="2" t="s">
        <v>454</v>
      </c>
      <c r="N100" s="2" t="s">
        <v>455</v>
      </c>
      <c r="O100" s="6" t="n">
        <v>4</v>
      </c>
      <c r="P100" s="7" t="s">
        <v>72</v>
      </c>
      <c r="Q100" s="8"/>
      <c r="R100" s="8"/>
      <c r="S100" s="2"/>
    </row>
    <row r="101" customFormat="false" ht="15" hidden="false" customHeight="false" outlineLevel="0" collapsed="false">
      <c r="A101" s="6" t="s">
        <v>455</v>
      </c>
      <c r="B101" s="6" t="s">
        <v>451</v>
      </c>
      <c r="C101" s="2" t="s">
        <v>452</v>
      </c>
      <c r="D101" s="2" t="s">
        <v>371</v>
      </c>
      <c r="E101" s="2" t="s">
        <v>456</v>
      </c>
      <c r="F101" s="6" t="s">
        <v>63</v>
      </c>
      <c r="G101" s="2" t="s">
        <v>64</v>
      </c>
      <c r="H101" s="2" t="s">
        <v>65</v>
      </c>
      <c r="I101" s="2" t="s">
        <v>371</v>
      </c>
      <c r="J101" s="2" t="s">
        <v>452</v>
      </c>
      <c r="K101" s="6" t="s">
        <v>68</v>
      </c>
      <c r="L101" s="6" t="s">
        <v>96</v>
      </c>
      <c r="M101" s="2" t="s">
        <v>457</v>
      </c>
      <c r="N101" s="2" t="s">
        <v>458</v>
      </c>
      <c r="O101" s="6" t="n">
        <v>14</v>
      </c>
      <c r="P101" s="7" t="s">
        <v>72</v>
      </c>
      <c r="Q101" s="8"/>
      <c r="R101" s="8"/>
      <c r="S101" s="2" t="s">
        <v>381</v>
      </c>
    </row>
    <row r="102" customFormat="false" ht="15" hidden="false" customHeight="false" outlineLevel="0" collapsed="false">
      <c r="A102" s="6" t="s">
        <v>449</v>
      </c>
      <c r="B102" s="6" t="s">
        <v>459</v>
      </c>
      <c r="C102" s="2" t="s">
        <v>460</v>
      </c>
      <c r="D102" s="2" t="s">
        <v>371</v>
      </c>
      <c r="E102" s="2" t="s">
        <v>461</v>
      </c>
      <c r="F102" s="6" t="s">
        <v>462</v>
      </c>
      <c r="G102" s="2" t="s">
        <v>463</v>
      </c>
      <c r="H102" s="2" t="s">
        <v>428</v>
      </c>
      <c r="I102" s="2" t="s">
        <v>371</v>
      </c>
      <c r="J102" s="2" t="s">
        <v>460</v>
      </c>
      <c r="K102" s="6" t="s">
        <v>68</v>
      </c>
      <c r="L102" s="6" t="s">
        <v>96</v>
      </c>
      <c r="M102" s="2" t="s">
        <v>447</v>
      </c>
      <c r="N102" s="2" t="s">
        <v>464</v>
      </c>
      <c r="O102" s="6" t="n">
        <v>7</v>
      </c>
      <c r="P102" s="7" t="s">
        <v>72</v>
      </c>
      <c r="Q102" s="8"/>
      <c r="R102" s="8"/>
      <c r="S102" s="2"/>
    </row>
    <row r="103" customFormat="false" ht="15" hidden="false" customHeight="false" outlineLevel="0" collapsed="false">
      <c r="A103" s="6" t="s">
        <v>465</v>
      </c>
      <c r="B103" s="6" t="s">
        <v>459</v>
      </c>
      <c r="C103" s="2" t="s">
        <v>460</v>
      </c>
      <c r="D103" s="2" t="s">
        <v>371</v>
      </c>
      <c r="E103" s="2" t="s">
        <v>466</v>
      </c>
      <c r="F103" s="6" t="s">
        <v>462</v>
      </c>
      <c r="G103" s="2" t="s">
        <v>463</v>
      </c>
      <c r="H103" s="2" t="s">
        <v>65</v>
      </c>
      <c r="I103" s="2" t="s">
        <v>371</v>
      </c>
      <c r="J103" s="2" t="s">
        <v>460</v>
      </c>
      <c r="K103" s="6" t="s">
        <v>68</v>
      </c>
      <c r="L103" s="6" t="s">
        <v>96</v>
      </c>
      <c r="M103" s="2" t="s">
        <v>408</v>
      </c>
      <c r="N103" s="2" t="s">
        <v>464</v>
      </c>
      <c r="O103" s="6" t="n">
        <v>4</v>
      </c>
      <c r="P103" s="7" t="s">
        <v>72</v>
      </c>
      <c r="Q103" s="8"/>
      <c r="R103" s="8"/>
      <c r="S103" s="2"/>
    </row>
    <row r="104" customFormat="false" ht="23.85" hidden="false" customHeight="false" outlineLevel="0" collapsed="false">
      <c r="A104" s="6" t="s">
        <v>34</v>
      </c>
      <c r="B104" s="6" t="s">
        <v>459</v>
      </c>
      <c r="C104" s="2" t="s">
        <v>460</v>
      </c>
      <c r="D104" s="2" t="s">
        <v>371</v>
      </c>
      <c r="E104" s="2" t="s">
        <v>467</v>
      </c>
      <c r="F104" s="6" t="s">
        <v>462</v>
      </c>
      <c r="G104" s="2" t="s">
        <v>463</v>
      </c>
      <c r="H104" s="2" t="s">
        <v>65</v>
      </c>
      <c r="I104" s="2" t="s">
        <v>371</v>
      </c>
      <c r="J104" s="2" t="s">
        <v>460</v>
      </c>
      <c r="K104" s="6" t="s">
        <v>68</v>
      </c>
      <c r="L104" s="6" t="s">
        <v>96</v>
      </c>
      <c r="M104" s="2" t="s">
        <v>70</v>
      </c>
      <c r="N104" s="2" t="s">
        <v>468</v>
      </c>
      <c r="O104" s="6" t="n">
        <v>0</v>
      </c>
      <c r="P104" s="7" t="s">
        <v>72</v>
      </c>
      <c r="Q104" s="8"/>
      <c r="R104" s="8"/>
      <c r="S104" s="2" t="s">
        <v>469</v>
      </c>
    </row>
    <row r="105" customFormat="false" ht="15" hidden="false" customHeight="false" outlineLevel="0" collapsed="false">
      <c r="A105" s="6" t="s">
        <v>470</v>
      </c>
      <c r="B105" s="6" t="s">
        <v>459</v>
      </c>
      <c r="C105" s="2" t="s">
        <v>460</v>
      </c>
      <c r="D105" s="2" t="s">
        <v>371</v>
      </c>
      <c r="E105" s="2" t="s">
        <v>471</v>
      </c>
      <c r="F105" s="6" t="s">
        <v>462</v>
      </c>
      <c r="G105" s="2" t="s">
        <v>463</v>
      </c>
      <c r="H105" s="2" t="s">
        <v>65</v>
      </c>
      <c r="I105" s="2" t="s">
        <v>371</v>
      </c>
      <c r="J105" s="2" t="s">
        <v>460</v>
      </c>
      <c r="K105" s="6" t="s">
        <v>68</v>
      </c>
      <c r="L105" s="6" t="s">
        <v>96</v>
      </c>
      <c r="M105" s="2" t="s">
        <v>141</v>
      </c>
      <c r="N105" s="2" t="s">
        <v>464</v>
      </c>
      <c r="O105" s="6" t="n">
        <v>10</v>
      </c>
      <c r="P105" s="7" t="s">
        <v>72</v>
      </c>
      <c r="Q105" s="8"/>
      <c r="R105" s="8"/>
      <c r="S105" s="2"/>
    </row>
    <row r="106" customFormat="false" ht="23.85" hidden="false" customHeight="false" outlineLevel="0" collapsed="false">
      <c r="A106" s="6" t="s">
        <v>464</v>
      </c>
      <c r="B106" s="6" t="s">
        <v>459</v>
      </c>
      <c r="C106" s="2" t="s">
        <v>460</v>
      </c>
      <c r="D106" s="2" t="s">
        <v>371</v>
      </c>
      <c r="E106" s="2" t="s">
        <v>472</v>
      </c>
      <c r="F106" s="6" t="s">
        <v>462</v>
      </c>
      <c r="G106" s="2" t="s">
        <v>463</v>
      </c>
      <c r="H106" s="2" t="s">
        <v>65</v>
      </c>
      <c r="I106" s="2" t="s">
        <v>371</v>
      </c>
      <c r="J106" s="2" t="s">
        <v>460</v>
      </c>
      <c r="K106" s="6" t="s">
        <v>68</v>
      </c>
      <c r="L106" s="6" t="s">
        <v>96</v>
      </c>
      <c r="M106" s="2" t="s">
        <v>473</v>
      </c>
      <c r="N106" s="2" t="s">
        <v>458</v>
      </c>
      <c r="O106" s="6" t="n">
        <v>11</v>
      </c>
      <c r="P106" s="7" t="s">
        <v>72</v>
      </c>
      <c r="Q106" s="8"/>
      <c r="R106" s="8"/>
      <c r="S106" s="2" t="s">
        <v>381</v>
      </c>
    </row>
    <row r="107" customFormat="false" ht="15" hidden="false" customHeight="false" outlineLevel="0" collapsed="false">
      <c r="A107" s="6" t="s">
        <v>38</v>
      </c>
      <c r="B107" s="6" t="s">
        <v>474</v>
      </c>
      <c r="C107" s="2" t="s">
        <v>475</v>
      </c>
      <c r="D107" s="2" t="s">
        <v>371</v>
      </c>
      <c r="E107" s="2" t="s">
        <v>476</v>
      </c>
      <c r="F107" s="6" t="s">
        <v>299</v>
      </c>
      <c r="G107" s="2" t="s">
        <v>300</v>
      </c>
      <c r="H107" s="2" t="s">
        <v>428</v>
      </c>
      <c r="I107" s="2" t="s">
        <v>371</v>
      </c>
      <c r="J107" s="2" t="s">
        <v>477</v>
      </c>
      <c r="K107" s="6" t="s">
        <v>68</v>
      </c>
      <c r="L107" s="6" t="s">
        <v>96</v>
      </c>
      <c r="M107" s="2" t="s">
        <v>70</v>
      </c>
      <c r="N107" s="2" t="s">
        <v>436</v>
      </c>
      <c r="O107" s="6" t="n">
        <v>0</v>
      </c>
      <c r="P107" s="7" t="s">
        <v>72</v>
      </c>
      <c r="Q107" s="8"/>
      <c r="R107" s="8"/>
      <c r="S107" s="2" t="s">
        <v>478</v>
      </c>
    </row>
    <row r="108" customFormat="false" ht="15" hidden="false" customHeight="false" outlineLevel="0" collapsed="false">
      <c r="A108" s="6" t="s">
        <v>479</v>
      </c>
      <c r="B108" s="6" t="s">
        <v>474</v>
      </c>
      <c r="C108" s="2" t="s">
        <v>475</v>
      </c>
      <c r="D108" s="2" t="s">
        <v>371</v>
      </c>
      <c r="E108" s="2" t="s">
        <v>480</v>
      </c>
      <c r="F108" s="6" t="s">
        <v>299</v>
      </c>
      <c r="G108" s="2" t="s">
        <v>300</v>
      </c>
      <c r="H108" s="2" t="s">
        <v>65</v>
      </c>
      <c r="I108" s="2" t="s">
        <v>371</v>
      </c>
      <c r="J108" s="2" t="s">
        <v>477</v>
      </c>
      <c r="K108" s="6" t="s">
        <v>68</v>
      </c>
      <c r="L108" s="6" t="s">
        <v>96</v>
      </c>
      <c r="M108" s="2" t="s">
        <v>408</v>
      </c>
      <c r="N108" s="2" t="s">
        <v>481</v>
      </c>
      <c r="O108" s="6" t="n">
        <v>4</v>
      </c>
      <c r="P108" s="7" t="s">
        <v>72</v>
      </c>
      <c r="Q108" s="8"/>
      <c r="R108" s="8"/>
      <c r="S108" s="2"/>
    </row>
    <row r="109" customFormat="false" ht="15" hidden="false" customHeight="false" outlineLevel="0" collapsed="false">
      <c r="A109" s="6" t="s">
        <v>334</v>
      </c>
      <c r="B109" s="6" t="s">
        <v>474</v>
      </c>
      <c r="C109" s="2" t="s">
        <v>475</v>
      </c>
      <c r="D109" s="2" t="s">
        <v>371</v>
      </c>
      <c r="E109" s="2" t="s">
        <v>482</v>
      </c>
      <c r="F109" s="6" t="s">
        <v>299</v>
      </c>
      <c r="G109" s="2" t="s">
        <v>300</v>
      </c>
      <c r="H109" s="2" t="s">
        <v>65</v>
      </c>
      <c r="I109" s="2" t="s">
        <v>371</v>
      </c>
      <c r="J109" s="2" t="s">
        <v>477</v>
      </c>
      <c r="K109" s="6" t="s">
        <v>68</v>
      </c>
      <c r="L109" s="6" t="s">
        <v>96</v>
      </c>
      <c r="M109" s="2" t="s">
        <v>483</v>
      </c>
      <c r="N109" s="2" t="s">
        <v>481</v>
      </c>
      <c r="O109" s="6" t="n">
        <v>6</v>
      </c>
      <c r="P109" s="7" t="s">
        <v>72</v>
      </c>
      <c r="Q109" s="8"/>
      <c r="R109" s="8"/>
      <c r="S109" s="2"/>
    </row>
    <row r="110" customFormat="false" ht="23.85" hidden="false" customHeight="false" outlineLevel="0" collapsed="false">
      <c r="A110" s="6" t="s">
        <v>481</v>
      </c>
      <c r="B110" s="6" t="s">
        <v>474</v>
      </c>
      <c r="C110" s="2" t="s">
        <v>475</v>
      </c>
      <c r="D110" s="2" t="s">
        <v>371</v>
      </c>
      <c r="E110" s="2" t="s">
        <v>484</v>
      </c>
      <c r="F110" s="6" t="s">
        <v>299</v>
      </c>
      <c r="G110" s="2" t="s">
        <v>300</v>
      </c>
      <c r="H110" s="2" t="s">
        <v>65</v>
      </c>
      <c r="I110" s="2" t="s">
        <v>371</v>
      </c>
      <c r="J110" s="2" t="s">
        <v>477</v>
      </c>
      <c r="K110" s="6" t="s">
        <v>68</v>
      </c>
      <c r="L110" s="6" t="s">
        <v>96</v>
      </c>
      <c r="M110" s="2" t="s">
        <v>485</v>
      </c>
      <c r="N110" s="2" t="s">
        <v>458</v>
      </c>
      <c r="O110" s="6" t="n">
        <v>10</v>
      </c>
      <c r="P110" s="7" t="s">
        <v>72</v>
      </c>
      <c r="Q110" s="8"/>
      <c r="R110" s="8"/>
      <c r="S110" s="2" t="s">
        <v>381</v>
      </c>
    </row>
    <row r="111" customFormat="false" ht="23.85" hidden="false" customHeight="false" outlineLevel="0" collapsed="false">
      <c r="A111" s="6" t="s">
        <v>486</v>
      </c>
      <c r="B111" s="6" t="s">
        <v>487</v>
      </c>
      <c r="C111" s="2" t="s">
        <v>488</v>
      </c>
      <c r="D111" s="2" t="s">
        <v>371</v>
      </c>
      <c r="E111" s="2" t="s">
        <v>489</v>
      </c>
      <c r="F111" s="6" t="s">
        <v>462</v>
      </c>
      <c r="G111" s="2" t="s">
        <v>463</v>
      </c>
      <c r="H111" s="2" t="s">
        <v>65</v>
      </c>
      <c r="I111" s="2" t="s">
        <v>371</v>
      </c>
      <c r="J111" s="2" t="s">
        <v>488</v>
      </c>
      <c r="K111" s="6" t="s">
        <v>68</v>
      </c>
      <c r="L111" s="6" t="s">
        <v>96</v>
      </c>
      <c r="M111" s="2" t="s">
        <v>70</v>
      </c>
      <c r="N111" s="2" t="s">
        <v>490</v>
      </c>
      <c r="O111" s="6" t="n">
        <v>0</v>
      </c>
      <c r="P111" s="7" t="s">
        <v>72</v>
      </c>
      <c r="Q111" s="8"/>
      <c r="R111" s="8"/>
      <c r="S111" s="2"/>
    </row>
    <row r="112" customFormat="false" ht="15" hidden="false" customHeight="false" outlineLevel="0" collapsed="false">
      <c r="A112" s="6" t="s">
        <v>491</v>
      </c>
      <c r="B112" s="6" t="s">
        <v>487</v>
      </c>
      <c r="C112" s="2" t="s">
        <v>488</v>
      </c>
      <c r="D112" s="2" t="s">
        <v>371</v>
      </c>
      <c r="E112" s="2" t="s">
        <v>492</v>
      </c>
      <c r="F112" s="6" t="s">
        <v>462</v>
      </c>
      <c r="G112" s="2" t="s">
        <v>463</v>
      </c>
      <c r="H112" s="2" t="s">
        <v>65</v>
      </c>
      <c r="I112" s="2" t="s">
        <v>371</v>
      </c>
      <c r="J112" s="2" t="s">
        <v>488</v>
      </c>
      <c r="K112" s="6" t="s">
        <v>68</v>
      </c>
      <c r="L112" s="6" t="s">
        <v>96</v>
      </c>
      <c r="M112" s="2" t="s">
        <v>70</v>
      </c>
      <c r="N112" s="2" t="s">
        <v>490</v>
      </c>
      <c r="O112" s="6" t="n">
        <v>0</v>
      </c>
      <c r="P112" s="7" t="s">
        <v>72</v>
      </c>
      <c r="Q112" s="8"/>
      <c r="R112" s="8"/>
      <c r="S112" s="2"/>
    </row>
    <row r="113" customFormat="false" ht="15" hidden="false" customHeight="false" outlineLevel="0" collapsed="false">
      <c r="A113" s="6" t="s">
        <v>493</v>
      </c>
      <c r="B113" s="6" t="s">
        <v>487</v>
      </c>
      <c r="C113" s="2" t="s">
        <v>488</v>
      </c>
      <c r="D113" s="2" t="s">
        <v>371</v>
      </c>
      <c r="E113" s="2" t="s">
        <v>494</v>
      </c>
      <c r="F113" s="6" t="s">
        <v>462</v>
      </c>
      <c r="G113" s="2" t="s">
        <v>463</v>
      </c>
      <c r="H113" s="2" t="s">
        <v>65</v>
      </c>
      <c r="I113" s="2" t="s">
        <v>371</v>
      </c>
      <c r="J113" s="2" t="s">
        <v>488</v>
      </c>
      <c r="K113" s="6" t="s">
        <v>68</v>
      </c>
      <c r="L113" s="6" t="s">
        <v>96</v>
      </c>
      <c r="M113" s="2" t="s">
        <v>408</v>
      </c>
      <c r="N113" s="2" t="s">
        <v>490</v>
      </c>
      <c r="O113" s="6" t="n">
        <v>4</v>
      </c>
      <c r="P113" s="7" t="s">
        <v>72</v>
      </c>
      <c r="Q113" s="8"/>
      <c r="R113" s="8"/>
      <c r="S113" s="2"/>
    </row>
    <row r="114" customFormat="false" ht="23.85" hidden="false" customHeight="false" outlineLevel="0" collapsed="false">
      <c r="A114" s="6" t="s">
        <v>490</v>
      </c>
      <c r="B114" s="6" t="s">
        <v>487</v>
      </c>
      <c r="C114" s="2" t="s">
        <v>488</v>
      </c>
      <c r="D114" s="2" t="s">
        <v>371</v>
      </c>
      <c r="E114" s="2" t="s">
        <v>495</v>
      </c>
      <c r="F114" s="6" t="s">
        <v>462</v>
      </c>
      <c r="G114" s="2" t="s">
        <v>463</v>
      </c>
      <c r="H114" s="2" t="s">
        <v>65</v>
      </c>
      <c r="I114" s="2" t="s">
        <v>371</v>
      </c>
      <c r="J114" s="2" t="s">
        <v>488</v>
      </c>
      <c r="K114" s="6" t="s">
        <v>68</v>
      </c>
      <c r="L114" s="6" t="s">
        <v>96</v>
      </c>
      <c r="M114" s="2" t="s">
        <v>496</v>
      </c>
      <c r="N114" s="2" t="s">
        <v>458</v>
      </c>
      <c r="O114" s="6" t="n">
        <v>12</v>
      </c>
      <c r="P114" s="7" t="s">
        <v>72</v>
      </c>
      <c r="Q114" s="8"/>
      <c r="R114" s="8"/>
      <c r="S114" s="2" t="s">
        <v>381</v>
      </c>
    </row>
    <row r="115" customFormat="false" ht="15" hidden="false" customHeight="false" outlineLevel="0" collapsed="false">
      <c r="A115" s="6" t="s">
        <v>497</v>
      </c>
      <c r="B115" s="6" t="s">
        <v>498</v>
      </c>
      <c r="C115" s="2" t="s">
        <v>499</v>
      </c>
      <c r="D115" s="2" t="s">
        <v>371</v>
      </c>
      <c r="E115" s="2" t="s">
        <v>500</v>
      </c>
      <c r="F115" s="6" t="s">
        <v>92</v>
      </c>
      <c r="G115" s="2" t="s">
        <v>93</v>
      </c>
      <c r="H115" s="2" t="s">
        <v>65</v>
      </c>
      <c r="I115" s="2" t="s">
        <v>371</v>
      </c>
      <c r="J115" s="2" t="s">
        <v>501</v>
      </c>
      <c r="K115" s="6" t="s">
        <v>68</v>
      </c>
      <c r="L115" s="6" t="s">
        <v>69</v>
      </c>
      <c r="M115" s="2" t="s">
        <v>70</v>
      </c>
      <c r="N115" s="2" t="s">
        <v>502</v>
      </c>
      <c r="O115" s="6" t="n">
        <v>0</v>
      </c>
      <c r="P115" s="7" t="s">
        <v>72</v>
      </c>
      <c r="Q115" s="8"/>
      <c r="R115" s="8"/>
      <c r="S115" s="2"/>
    </row>
    <row r="116" customFormat="false" ht="23.85" hidden="false" customHeight="false" outlineLevel="0" collapsed="false">
      <c r="A116" s="6" t="s">
        <v>503</v>
      </c>
      <c r="B116" s="6" t="s">
        <v>498</v>
      </c>
      <c r="C116" s="2" t="s">
        <v>499</v>
      </c>
      <c r="D116" s="2" t="s">
        <v>371</v>
      </c>
      <c r="E116" s="2" t="s">
        <v>504</v>
      </c>
      <c r="F116" s="6" t="s">
        <v>92</v>
      </c>
      <c r="G116" s="2" t="s">
        <v>93</v>
      </c>
      <c r="H116" s="2" t="s">
        <v>65</v>
      </c>
      <c r="I116" s="2" t="s">
        <v>371</v>
      </c>
      <c r="J116" s="2" t="s">
        <v>501</v>
      </c>
      <c r="K116" s="6" t="s">
        <v>68</v>
      </c>
      <c r="L116" s="6" t="s">
        <v>69</v>
      </c>
      <c r="M116" s="2" t="s">
        <v>505</v>
      </c>
      <c r="N116" s="2" t="s">
        <v>506</v>
      </c>
      <c r="O116" s="6" t="n">
        <v>2</v>
      </c>
      <c r="P116" s="7" t="s">
        <v>72</v>
      </c>
      <c r="Q116" s="8"/>
      <c r="R116" s="8"/>
      <c r="S116" s="2"/>
    </row>
    <row r="117" customFormat="false" ht="15" hidden="false" customHeight="false" outlineLevel="0" collapsed="false">
      <c r="A117" s="6" t="s">
        <v>507</v>
      </c>
      <c r="B117" s="6" t="s">
        <v>498</v>
      </c>
      <c r="C117" s="2" t="s">
        <v>499</v>
      </c>
      <c r="D117" s="2" t="s">
        <v>371</v>
      </c>
      <c r="E117" s="2" t="s">
        <v>508</v>
      </c>
      <c r="F117" s="6" t="s">
        <v>92</v>
      </c>
      <c r="G117" s="2" t="s">
        <v>93</v>
      </c>
      <c r="H117" s="2" t="s">
        <v>65</v>
      </c>
      <c r="I117" s="2" t="s">
        <v>371</v>
      </c>
      <c r="J117" s="2" t="s">
        <v>501</v>
      </c>
      <c r="K117" s="6" t="s">
        <v>68</v>
      </c>
      <c r="L117" s="6" t="s">
        <v>69</v>
      </c>
      <c r="M117" s="2" t="s">
        <v>497</v>
      </c>
      <c r="N117" s="2" t="s">
        <v>509</v>
      </c>
      <c r="O117" s="6" t="n">
        <v>1</v>
      </c>
      <c r="P117" s="7" t="s">
        <v>72</v>
      </c>
      <c r="Q117" s="8"/>
      <c r="R117" s="8"/>
      <c r="S117" s="2"/>
    </row>
    <row r="118" customFormat="false" ht="15" hidden="false" customHeight="false" outlineLevel="0" collapsed="false">
      <c r="A118" s="6" t="s">
        <v>506</v>
      </c>
      <c r="B118" s="6" t="s">
        <v>498</v>
      </c>
      <c r="C118" s="2" t="s">
        <v>499</v>
      </c>
      <c r="D118" s="2" t="s">
        <v>371</v>
      </c>
      <c r="E118" s="2" t="s">
        <v>510</v>
      </c>
      <c r="F118" s="6" t="s">
        <v>92</v>
      </c>
      <c r="G118" s="2" t="s">
        <v>93</v>
      </c>
      <c r="H118" s="2" t="s">
        <v>65</v>
      </c>
      <c r="I118" s="2" t="s">
        <v>371</v>
      </c>
      <c r="J118" s="2" t="s">
        <v>501</v>
      </c>
      <c r="K118" s="6" t="s">
        <v>68</v>
      </c>
      <c r="L118" s="6" t="s">
        <v>69</v>
      </c>
      <c r="M118" s="2" t="s">
        <v>511</v>
      </c>
      <c r="N118" s="2" t="s">
        <v>509</v>
      </c>
      <c r="O118" s="6" t="n">
        <v>10</v>
      </c>
      <c r="P118" s="7" t="s">
        <v>72</v>
      </c>
      <c r="Q118" s="8"/>
      <c r="R118" s="8"/>
      <c r="S118" s="2"/>
    </row>
    <row r="119" customFormat="false" ht="23.85" hidden="false" customHeight="false" outlineLevel="0" collapsed="false">
      <c r="A119" s="6" t="s">
        <v>512</v>
      </c>
      <c r="B119" s="6" t="s">
        <v>498</v>
      </c>
      <c r="C119" s="2" t="s">
        <v>499</v>
      </c>
      <c r="D119" s="2" t="s">
        <v>371</v>
      </c>
      <c r="E119" s="2" t="s">
        <v>513</v>
      </c>
      <c r="F119" s="6" t="s">
        <v>92</v>
      </c>
      <c r="G119" s="2" t="s">
        <v>93</v>
      </c>
      <c r="H119" s="2" t="s">
        <v>65</v>
      </c>
      <c r="I119" s="2" t="s">
        <v>371</v>
      </c>
      <c r="J119" s="2" t="s">
        <v>501</v>
      </c>
      <c r="K119" s="6" t="s">
        <v>68</v>
      </c>
      <c r="L119" s="6" t="s">
        <v>69</v>
      </c>
      <c r="M119" s="2" t="s">
        <v>349</v>
      </c>
      <c r="N119" s="2" t="s">
        <v>509</v>
      </c>
      <c r="O119" s="6" t="n">
        <v>12</v>
      </c>
      <c r="P119" s="7" t="s">
        <v>72</v>
      </c>
      <c r="Q119" s="8"/>
      <c r="R119" s="8"/>
      <c r="S119" s="2" t="s">
        <v>514</v>
      </c>
    </row>
    <row r="120" customFormat="false" ht="23.85" hidden="false" customHeight="false" outlineLevel="0" collapsed="false">
      <c r="A120" s="6" t="s">
        <v>509</v>
      </c>
      <c r="B120" s="6" t="s">
        <v>498</v>
      </c>
      <c r="C120" s="2" t="s">
        <v>499</v>
      </c>
      <c r="D120" s="2" t="s">
        <v>371</v>
      </c>
      <c r="E120" s="2" t="s">
        <v>515</v>
      </c>
      <c r="F120" s="6" t="s">
        <v>92</v>
      </c>
      <c r="G120" s="2" t="s">
        <v>93</v>
      </c>
      <c r="H120" s="2" t="s">
        <v>65</v>
      </c>
      <c r="I120" s="2" t="s">
        <v>371</v>
      </c>
      <c r="J120" s="2" t="s">
        <v>501</v>
      </c>
      <c r="K120" s="6" t="s">
        <v>68</v>
      </c>
      <c r="L120" s="6" t="s">
        <v>69</v>
      </c>
      <c r="M120" s="2" t="s">
        <v>516</v>
      </c>
      <c r="N120" s="2" t="s">
        <v>458</v>
      </c>
      <c r="O120" s="6" t="n">
        <v>15</v>
      </c>
      <c r="P120" s="7" t="s">
        <v>72</v>
      </c>
      <c r="Q120" s="8"/>
      <c r="R120" s="8"/>
      <c r="S120" s="2" t="s">
        <v>381</v>
      </c>
    </row>
    <row r="121" customFormat="false" ht="23.85" hidden="false" customHeight="false" outlineLevel="0" collapsed="false">
      <c r="A121" s="6" t="s">
        <v>517</v>
      </c>
      <c r="B121" s="6" t="s">
        <v>518</v>
      </c>
      <c r="C121" s="2" t="s">
        <v>519</v>
      </c>
      <c r="D121" s="2" t="s">
        <v>371</v>
      </c>
      <c r="E121" s="2" t="s">
        <v>520</v>
      </c>
      <c r="F121" s="6" t="s">
        <v>387</v>
      </c>
      <c r="G121" s="2" t="s">
        <v>388</v>
      </c>
      <c r="H121" s="2" t="s">
        <v>65</v>
      </c>
      <c r="I121" s="2" t="s">
        <v>371</v>
      </c>
      <c r="J121" s="2" t="s">
        <v>404</v>
      </c>
      <c r="K121" s="6" t="s">
        <v>390</v>
      </c>
      <c r="L121" s="6" t="s">
        <v>96</v>
      </c>
      <c r="M121" s="2" t="s">
        <v>408</v>
      </c>
      <c r="N121" s="2" t="s">
        <v>70</v>
      </c>
      <c r="O121" s="6" t="n">
        <v>4</v>
      </c>
      <c r="P121" s="7" t="s">
        <v>72</v>
      </c>
      <c r="Q121" s="8"/>
      <c r="R121" s="8"/>
      <c r="S121" s="2"/>
    </row>
    <row r="122" customFormat="false" ht="23.85" hidden="false" customHeight="false" outlineLevel="0" collapsed="false">
      <c r="A122" s="6" t="s">
        <v>521</v>
      </c>
      <c r="B122" s="6" t="s">
        <v>518</v>
      </c>
      <c r="C122" s="2" t="s">
        <v>519</v>
      </c>
      <c r="D122" s="2" t="s">
        <v>371</v>
      </c>
      <c r="E122" s="2" t="s">
        <v>522</v>
      </c>
      <c r="F122" s="6" t="s">
        <v>387</v>
      </c>
      <c r="G122" s="2" t="s">
        <v>388</v>
      </c>
      <c r="H122" s="2" t="s">
        <v>65</v>
      </c>
      <c r="I122" s="2" t="s">
        <v>371</v>
      </c>
      <c r="J122" s="2" t="s">
        <v>404</v>
      </c>
      <c r="K122" s="6" t="s">
        <v>390</v>
      </c>
      <c r="L122" s="6" t="s">
        <v>96</v>
      </c>
      <c r="M122" s="2" t="s">
        <v>420</v>
      </c>
      <c r="N122" s="2" t="s">
        <v>70</v>
      </c>
      <c r="O122" s="6" t="n">
        <v>4</v>
      </c>
      <c r="P122" s="7" t="s">
        <v>72</v>
      </c>
      <c r="Q122" s="8"/>
      <c r="R122" s="8"/>
      <c r="S122" s="2"/>
    </row>
    <row r="123" customFormat="false" ht="15" hidden="false" customHeight="false" outlineLevel="0" collapsed="false">
      <c r="A123" s="6" t="s">
        <v>523</v>
      </c>
      <c r="B123" s="6" t="s">
        <v>524</v>
      </c>
      <c r="C123" s="2" t="s">
        <v>525</v>
      </c>
      <c r="D123" s="2" t="s">
        <v>526</v>
      </c>
      <c r="E123" s="2" t="s">
        <v>527</v>
      </c>
      <c r="F123" s="6" t="s">
        <v>462</v>
      </c>
      <c r="G123" s="2" t="s">
        <v>463</v>
      </c>
      <c r="H123" s="2" t="s">
        <v>526</v>
      </c>
      <c r="I123" s="2" t="s">
        <v>371</v>
      </c>
      <c r="J123" s="2" t="s">
        <v>528</v>
      </c>
      <c r="K123" s="6" t="s">
        <v>68</v>
      </c>
      <c r="L123" s="6" t="s">
        <v>96</v>
      </c>
      <c r="M123" s="2" t="s">
        <v>349</v>
      </c>
      <c r="N123" s="2" t="s">
        <v>529</v>
      </c>
      <c r="O123" s="6" t="n">
        <v>12</v>
      </c>
      <c r="P123" s="7" t="s">
        <v>72</v>
      </c>
      <c r="Q123" s="8"/>
      <c r="R123" s="8"/>
      <c r="S123" s="2"/>
    </row>
    <row r="124" customFormat="false" ht="15" hidden="false" customHeight="false" outlineLevel="0" collapsed="false">
      <c r="A124" s="6" t="s">
        <v>530</v>
      </c>
      <c r="B124" s="6" t="s">
        <v>524</v>
      </c>
      <c r="C124" s="2" t="s">
        <v>525</v>
      </c>
      <c r="D124" s="2" t="s">
        <v>526</v>
      </c>
      <c r="E124" s="2" t="s">
        <v>531</v>
      </c>
      <c r="F124" s="6" t="s">
        <v>462</v>
      </c>
      <c r="G124" s="2" t="s">
        <v>463</v>
      </c>
      <c r="H124" s="2" t="s">
        <v>526</v>
      </c>
      <c r="I124" s="2" t="s">
        <v>371</v>
      </c>
      <c r="J124" s="2" t="s">
        <v>528</v>
      </c>
      <c r="K124" s="6" t="s">
        <v>68</v>
      </c>
      <c r="L124" s="6" t="s">
        <v>96</v>
      </c>
      <c r="M124" s="2" t="s">
        <v>523</v>
      </c>
      <c r="N124" s="2" t="s">
        <v>532</v>
      </c>
      <c r="O124" s="6" t="n">
        <v>13</v>
      </c>
      <c r="P124" s="7" t="s">
        <v>72</v>
      </c>
      <c r="Q124" s="8"/>
      <c r="R124" s="8"/>
      <c r="S124" s="2"/>
    </row>
    <row r="125" customFormat="false" ht="23.85" hidden="false" customHeight="false" outlineLevel="0" collapsed="false">
      <c r="A125" s="6" t="s">
        <v>532</v>
      </c>
      <c r="B125" s="6" t="s">
        <v>524</v>
      </c>
      <c r="C125" s="2" t="s">
        <v>525</v>
      </c>
      <c r="D125" s="2" t="s">
        <v>526</v>
      </c>
      <c r="E125" s="2" t="s">
        <v>533</v>
      </c>
      <c r="F125" s="6" t="s">
        <v>462</v>
      </c>
      <c r="G125" s="2" t="s">
        <v>463</v>
      </c>
      <c r="H125" s="2" t="s">
        <v>65</v>
      </c>
      <c r="I125" s="2" t="s">
        <v>371</v>
      </c>
      <c r="J125" s="2" t="s">
        <v>528</v>
      </c>
      <c r="K125" s="6" t="s">
        <v>68</v>
      </c>
      <c r="L125" s="6" t="s">
        <v>96</v>
      </c>
      <c r="M125" s="2" t="s">
        <v>530</v>
      </c>
      <c r="N125" s="2" t="s">
        <v>534</v>
      </c>
      <c r="O125" s="6" t="n">
        <v>14</v>
      </c>
      <c r="P125" s="7" t="s">
        <v>72</v>
      </c>
      <c r="Q125" s="8"/>
      <c r="R125" s="8"/>
      <c r="S125" s="2" t="s">
        <v>381</v>
      </c>
    </row>
    <row r="126" customFormat="false" ht="15" hidden="false" customHeight="false" outlineLevel="0" collapsed="false">
      <c r="A126" s="6" t="s">
        <v>535</v>
      </c>
      <c r="B126" s="6" t="s">
        <v>524</v>
      </c>
      <c r="C126" s="2" t="s">
        <v>525</v>
      </c>
      <c r="D126" s="2" t="s">
        <v>526</v>
      </c>
      <c r="E126" s="2" t="s">
        <v>536</v>
      </c>
      <c r="F126" s="6" t="s">
        <v>462</v>
      </c>
      <c r="G126" s="2" t="s">
        <v>463</v>
      </c>
      <c r="H126" s="2" t="s">
        <v>526</v>
      </c>
      <c r="I126" s="2" t="s">
        <v>371</v>
      </c>
      <c r="J126" s="2" t="s">
        <v>528</v>
      </c>
      <c r="K126" s="6" t="s">
        <v>68</v>
      </c>
      <c r="L126" s="6" t="s">
        <v>96</v>
      </c>
      <c r="M126" s="2" t="s">
        <v>70</v>
      </c>
      <c r="N126" s="2" t="s">
        <v>70</v>
      </c>
      <c r="O126" s="6" t="n">
        <v>0</v>
      </c>
      <c r="P126" s="7" t="s">
        <v>72</v>
      </c>
      <c r="Q126" s="8"/>
      <c r="R126" s="8"/>
      <c r="S126" s="2" t="s">
        <v>537</v>
      </c>
    </row>
    <row r="127" customFormat="false" ht="23.85" hidden="false" customHeight="false" outlineLevel="0" collapsed="false">
      <c r="A127" s="6" t="s">
        <v>538</v>
      </c>
      <c r="B127" s="6" t="s">
        <v>539</v>
      </c>
      <c r="C127" s="2" t="s">
        <v>540</v>
      </c>
      <c r="D127" s="2" t="s">
        <v>526</v>
      </c>
      <c r="E127" s="2" t="s">
        <v>541</v>
      </c>
      <c r="F127" s="6" t="s">
        <v>387</v>
      </c>
      <c r="G127" s="2" t="s">
        <v>388</v>
      </c>
      <c r="H127" s="2" t="s">
        <v>526</v>
      </c>
      <c r="I127" s="2" t="s">
        <v>371</v>
      </c>
      <c r="J127" s="2" t="s">
        <v>542</v>
      </c>
      <c r="K127" s="6" t="s">
        <v>68</v>
      </c>
      <c r="L127" s="6" t="s">
        <v>96</v>
      </c>
      <c r="M127" s="2" t="s">
        <v>70</v>
      </c>
      <c r="N127" s="2" t="s">
        <v>70</v>
      </c>
      <c r="O127" s="6" t="n">
        <v>0</v>
      </c>
      <c r="P127" s="7" t="s">
        <v>72</v>
      </c>
      <c r="Q127" s="8"/>
      <c r="R127" s="8"/>
      <c r="S127" s="2" t="s">
        <v>543</v>
      </c>
    </row>
    <row r="128" customFormat="false" ht="23.85" hidden="false" customHeight="false" outlineLevel="0" collapsed="false">
      <c r="A128" s="6" t="s">
        <v>544</v>
      </c>
      <c r="B128" s="6" t="s">
        <v>539</v>
      </c>
      <c r="C128" s="2" t="s">
        <v>540</v>
      </c>
      <c r="D128" s="2" t="s">
        <v>526</v>
      </c>
      <c r="E128" s="2" t="s">
        <v>545</v>
      </c>
      <c r="F128" s="6" t="s">
        <v>387</v>
      </c>
      <c r="G128" s="2" t="s">
        <v>388</v>
      </c>
      <c r="H128" s="2" t="s">
        <v>526</v>
      </c>
      <c r="I128" s="2" t="s">
        <v>371</v>
      </c>
      <c r="J128" s="2" t="s">
        <v>542</v>
      </c>
      <c r="K128" s="6" t="s">
        <v>68</v>
      </c>
      <c r="L128" s="6" t="s">
        <v>96</v>
      </c>
      <c r="M128" s="2" t="s">
        <v>523</v>
      </c>
      <c r="N128" s="2" t="s">
        <v>546</v>
      </c>
      <c r="O128" s="6" t="n">
        <v>13</v>
      </c>
      <c r="P128" s="7" t="s">
        <v>72</v>
      </c>
      <c r="Q128" s="8"/>
      <c r="R128" s="8"/>
      <c r="S128" s="2"/>
    </row>
    <row r="129" customFormat="false" ht="23.85" hidden="false" customHeight="false" outlineLevel="0" collapsed="false">
      <c r="A129" s="6" t="s">
        <v>546</v>
      </c>
      <c r="B129" s="6" t="s">
        <v>539</v>
      </c>
      <c r="C129" s="2" t="s">
        <v>540</v>
      </c>
      <c r="D129" s="2" t="s">
        <v>526</v>
      </c>
      <c r="E129" s="2" t="s">
        <v>547</v>
      </c>
      <c r="F129" s="6" t="s">
        <v>387</v>
      </c>
      <c r="G129" s="2" t="s">
        <v>388</v>
      </c>
      <c r="H129" s="2" t="s">
        <v>526</v>
      </c>
      <c r="I129" s="2" t="s">
        <v>371</v>
      </c>
      <c r="J129" s="2" t="s">
        <v>542</v>
      </c>
      <c r="K129" s="6" t="s">
        <v>68</v>
      </c>
      <c r="L129" s="6" t="s">
        <v>96</v>
      </c>
      <c r="M129" s="2" t="s">
        <v>544</v>
      </c>
      <c r="N129" s="2" t="s">
        <v>446</v>
      </c>
      <c r="O129" s="6" t="n">
        <v>14</v>
      </c>
      <c r="P129" s="7" t="s">
        <v>72</v>
      </c>
      <c r="Q129" s="8"/>
      <c r="R129" s="8"/>
      <c r="S129" s="2"/>
    </row>
    <row r="130" customFormat="false" ht="23.85" hidden="false" customHeight="false" outlineLevel="0" collapsed="false">
      <c r="A130" s="6" t="s">
        <v>548</v>
      </c>
      <c r="B130" s="6" t="s">
        <v>539</v>
      </c>
      <c r="C130" s="2" t="s">
        <v>540</v>
      </c>
      <c r="D130" s="2" t="s">
        <v>526</v>
      </c>
      <c r="E130" s="2" t="s">
        <v>549</v>
      </c>
      <c r="F130" s="6" t="s">
        <v>387</v>
      </c>
      <c r="G130" s="2" t="s">
        <v>388</v>
      </c>
      <c r="H130" s="2" t="s">
        <v>526</v>
      </c>
      <c r="I130" s="2" t="s">
        <v>371</v>
      </c>
      <c r="J130" s="2" t="s">
        <v>542</v>
      </c>
      <c r="K130" s="6" t="s">
        <v>68</v>
      </c>
      <c r="L130" s="6" t="s">
        <v>96</v>
      </c>
      <c r="M130" s="2" t="s">
        <v>550</v>
      </c>
      <c r="N130" s="2" t="s">
        <v>454</v>
      </c>
      <c r="O130" s="6" t="n">
        <v>2</v>
      </c>
      <c r="P130" s="7" t="s">
        <v>72</v>
      </c>
      <c r="Q130" s="8"/>
      <c r="R130" s="8"/>
      <c r="S130" s="2"/>
    </row>
    <row r="131" customFormat="false" ht="23.85" hidden="false" customHeight="false" outlineLevel="0" collapsed="false">
      <c r="A131" s="6" t="s">
        <v>42</v>
      </c>
      <c r="B131" s="6" t="s">
        <v>539</v>
      </c>
      <c r="C131" s="2" t="s">
        <v>540</v>
      </c>
      <c r="D131" s="2" t="s">
        <v>526</v>
      </c>
      <c r="E131" s="2" t="s">
        <v>551</v>
      </c>
      <c r="F131" s="6" t="s">
        <v>387</v>
      </c>
      <c r="G131" s="2" t="s">
        <v>388</v>
      </c>
      <c r="H131" s="2" t="s">
        <v>526</v>
      </c>
      <c r="I131" s="2" t="s">
        <v>371</v>
      </c>
      <c r="J131" s="2" t="s">
        <v>542</v>
      </c>
      <c r="K131" s="6" t="s">
        <v>68</v>
      </c>
      <c r="L131" s="6" t="s">
        <v>96</v>
      </c>
      <c r="M131" s="2" t="s">
        <v>70</v>
      </c>
      <c r="N131" s="2" t="s">
        <v>70</v>
      </c>
      <c r="O131" s="6" t="n">
        <v>0</v>
      </c>
      <c r="P131" s="7" t="s">
        <v>72</v>
      </c>
      <c r="Q131" s="8"/>
      <c r="R131" s="8"/>
      <c r="S131" s="2" t="s">
        <v>552</v>
      </c>
    </row>
    <row r="132" customFormat="false" ht="23.85" hidden="false" customHeight="false" outlineLevel="0" collapsed="false">
      <c r="A132" s="6" t="s">
        <v>553</v>
      </c>
      <c r="B132" s="6" t="s">
        <v>554</v>
      </c>
      <c r="C132" s="2" t="s">
        <v>555</v>
      </c>
      <c r="D132" s="2" t="s">
        <v>526</v>
      </c>
      <c r="E132" s="2" t="s">
        <v>556</v>
      </c>
      <c r="F132" s="6" t="s">
        <v>387</v>
      </c>
      <c r="G132" s="2" t="s">
        <v>388</v>
      </c>
      <c r="H132" s="2" t="s">
        <v>526</v>
      </c>
      <c r="I132" s="2" t="s">
        <v>371</v>
      </c>
      <c r="J132" s="2" t="s">
        <v>542</v>
      </c>
      <c r="K132" s="6" t="s">
        <v>68</v>
      </c>
      <c r="L132" s="6" t="s">
        <v>69</v>
      </c>
      <c r="M132" s="2" t="s">
        <v>141</v>
      </c>
      <c r="N132" s="2" t="s">
        <v>458</v>
      </c>
      <c r="O132" s="6" t="n">
        <v>10</v>
      </c>
      <c r="P132" s="7" t="s">
        <v>72</v>
      </c>
      <c r="Q132" s="8"/>
      <c r="R132" s="8"/>
      <c r="S132" s="2"/>
    </row>
    <row r="133" customFormat="false" ht="23.85" hidden="false" customHeight="false" outlineLevel="0" collapsed="false">
      <c r="A133" s="6" t="s">
        <v>458</v>
      </c>
      <c r="B133" s="6" t="s">
        <v>554</v>
      </c>
      <c r="C133" s="2" t="s">
        <v>555</v>
      </c>
      <c r="D133" s="2" t="s">
        <v>526</v>
      </c>
      <c r="E133" s="2" t="s">
        <v>557</v>
      </c>
      <c r="F133" s="6" t="s">
        <v>387</v>
      </c>
      <c r="G133" s="2" t="s">
        <v>388</v>
      </c>
      <c r="H133" s="2" t="s">
        <v>526</v>
      </c>
      <c r="I133" s="2" t="s">
        <v>371</v>
      </c>
      <c r="J133" s="2" t="s">
        <v>542</v>
      </c>
      <c r="K133" s="6" t="s">
        <v>68</v>
      </c>
      <c r="L133" s="6" t="s">
        <v>69</v>
      </c>
      <c r="M133" s="2" t="s">
        <v>558</v>
      </c>
      <c r="N133" s="2" t="s">
        <v>559</v>
      </c>
      <c r="O133" s="6" t="n">
        <v>16</v>
      </c>
      <c r="P133" s="7" t="s">
        <v>72</v>
      </c>
      <c r="Q133" s="8"/>
      <c r="R133" s="8"/>
      <c r="S133" s="2"/>
    </row>
    <row r="134" customFormat="false" ht="23.85" hidden="false" customHeight="false" outlineLevel="0" collapsed="false">
      <c r="A134" s="6" t="s">
        <v>559</v>
      </c>
      <c r="B134" s="6" t="s">
        <v>554</v>
      </c>
      <c r="C134" s="2" t="s">
        <v>555</v>
      </c>
      <c r="D134" s="2" t="s">
        <v>526</v>
      </c>
      <c r="E134" s="2" t="s">
        <v>560</v>
      </c>
      <c r="F134" s="6" t="s">
        <v>387</v>
      </c>
      <c r="G134" s="2" t="s">
        <v>388</v>
      </c>
      <c r="H134" s="2" t="s">
        <v>526</v>
      </c>
      <c r="I134" s="2" t="s">
        <v>371</v>
      </c>
      <c r="J134" s="2" t="s">
        <v>542</v>
      </c>
      <c r="K134" s="6" t="s">
        <v>68</v>
      </c>
      <c r="L134" s="6" t="s">
        <v>69</v>
      </c>
      <c r="M134" s="2" t="s">
        <v>561</v>
      </c>
      <c r="N134" s="2" t="s">
        <v>446</v>
      </c>
      <c r="O134" s="6" t="n">
        <v>17</v>
      </c>
      <c r="P134" s="7" t="s">
        <v>72</v>
      </c>
      <c r="Q134" s="8"/>
      <c r="R134" s="8"/>
      <c r="S134" s="2"/>
    </row>
    <row r="135" customFormat="false" ht="23.85" hidden="false" customHeight="false" outlineLevel="0" collapsed="false">
      <c r="A135" s="6" t="s">
        <v>446</v>
      </c>
      <c r="B135" s="6" t="s">
        <v>554</v>
      </c>
      <c r="C135" s="2" t="s">
        <v>555</v>
      </c>
      <c r="D135" s="2" t="s">
        <v>526</v>
      </c>
      <c r="E135" s="2" t="s">
        <v>562</v>
      </c>
      <c r="F135" s="6" t="s">
        <v>387</v>
      </c>
      <c r="G135" s="2" t="s">
        <v>388</v>
      </c>
      <c r="H135" s="2" t="s">
        <v>526</v>
      </c>
      <c r="I135" s="2" t="s">
        <v>371</v>
      </c>
      <c r="J135" s="2" t="s">
        <v>542</v>
      </c>
      <c r="K135" s="6" t="s">
        <v>68</v>
      </c>
      <c r="L135" s="6" t="s">
        <v>69</v>
      </c>
      <c r="M135" s="2" t="s">
        <v>563</v>
      </c>
      <c r="N135" s="2" t="s">
        <v>70</v>
      </c>
      <c r="O135" s="6" t="n">
        <v>18</v>
      </c>
      <c r="P135" s="7" t="s">
        <v>72</v>
      </c>
      <c r="Q135" s="8"/>
      <c r="R135" s="8"/>
      <c r="S135" s="2" t="s">
        <v>564</v>
      </c>
    </row>
  </sheetData>
  <conditionalFormatting sqref="A2:S135">
    <cfRule type="expression" priority="2" aboveAverage="0" equalAverage="0" bottom="0" percent="0" rank="0" text="" dxfId="4">
      <formula>$P2="Hecha"</formula>
    </cfRule>
    <cfRule type="expression" priority="3" aboveAverage="0" equalAverage="0" bottom="0" percent="0" rank="0" text="" dxfId="5">
      <formula>$P2="Bloqueada"</formula>
    </cfRule>
    <cfRule type="expression" priority="4" aboveAverage="0" equalAverage="0" bottom="0" percent="0" rank="0" text="" dxfId="6">
      <formula>$P2="En curso"</formula>
    </cfRule>
  </conditionalFormatting>
  <conditionalFormatting sqref="R2:R135">
    <cfRule type="expression" priority="5" aboveAverage="0" equalAverage="0" bottom="0" percent="0" rank="0" text="" dxfId="7">
      <formula>AND($R2&lt;&gt;"",$Q2&lt;&gt;"",$R2&lt;$Q2)</formula>
    </cfRule>
  </conditionalFormatting>
  <dataValidations count="2">
    <dataValidation allowBlank="false" errorStyle="stop" operator="between" showDropDown="false" showErrorMessage="false" showInputMessage="false" sqref="P2:P135" type="list">
      <formula1>"Pendiente,En curso,Bloqueada,Hecha"</formula1>
      <formula2>0</formula2>
    </dataValidation>
    <dataValidation allowBlank="true" error="Escribe una fecha dd/mm/aaaa" errorStyle="stop" errorTitle="Fecha" operator="greaterThan" showDropDown="false" showErrorMessage="false" showInputMessage="false" sqref="Q2:R135" type="date">
      <formula1>46000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1" min="10" style="0" width="8"/>
    <col collapsed="false" customWidth="true" hidden="false" outlineLevel="0" max="13" min="12" style="0" width="9"/>
  </cols>
  <sheetData>
    <row r="1" customFormat="false" ht="31.5" hidden="false" customHeight="true" outlineLevel="0" collapsed="false">
      <c r="A1" s="5" t="s">
        <v>45</v>
      </c>
      <c r="B1" s="5" t="s">
        <v>565</v>
      </c>
      <c r="C1" s="5" t="s">
        <v>47</v>
      </c>
      <c r="D1" s="5" t="s">
        <v>49</v>
      </c>
      <c r="E1" s="5" t="s">
        <v>53</v>
      </c>
      <c r="F1" s="5" t="s">
        <v>25</v>
      </c>
      <c r="G1" s="5" t="s">
        <v>51</v>
      </c>
      <c r="H1" s="5" t="s">
        <v>52</v>
      </c>
      <c r="I1" s="5" t="s">
        <v>566</v>
      </c>
      <c r="J1" s="5" t="s">
        <v>21</v>
      </c>
      <c r="K1" s="5" t="s">
        <v>567</v>
      </c>
      <c r="L1" s="5" t="s">
        <v>568</v>
      </c>
      <c r="M1" s="5" t="s">
        <v>569</v>
      </c>
    </row>
    <row r="2" customFormat="false" ht="23.85" hidden="false" customHeight="false" outlineLevel="0" collapsed="false">
      <c r="A2" s="6" t="s">
        <v>59</v>
      </c>
      <c r="B2" s="2" t="s">
        <v>60</v>
      </c>
      <c r="C2" s="2" t="s">
        <v>61</v>
      </c>
      <c r="D2" s="6" t="s">
        <v>63</v>
      </c>
      <c r="E2" s="6" t="s">
        <v>68</v>
      </c>
      <c r="F2" s="6" t="n">
        <v>2</v>
      </c>
      <c r="G2" s="2" t="s">
        <v>66</v>
      </c>
      <c r="H2" s="2" t="s">
        <v>67</v>
      </c>
      <c r="I2" s="2" t="s">
        <v>570</v>
      </c>
      <c r="J2" s="6" t="s">
        <v>69</v>
      </c>
      <c r="K2" s="6" t="n">
        <f aca="false">COUNTIF(Tareas!$B$2:$B$135,A2)</f>
        <v>5</v>
      </c>
      <c r="L2" s="6" t="n">
        <f aca="false">COUNTIFS(Tareas!$B$2:$B$135,A2,Tareas!$P$2:$P$135,"Hecha")</f>
        <v>0</v>
      </c>
      <c r="M2" s="9" t="n">
        <f aca="false">IF(K2=0,0,L2/K2)</f>
        <v>0</v>
      </c>
    </row>
    <row r="3" customFormat="false" ht="23.85" hidden="false" customHeight="false" outlineLevel="0" collapsed="false">
      <c r="A3" s="6" t="s">
        <v>89</v>
      </c>
      <c r="B3" s="2" t="s">
        <v>90</v>
      </c>
      <c r="C3" s="2" t="s">
        <v>61</v>
      </c>
      <c r="D3" s="6" t="s">
        <v>92</v>
      </c>
      <c r="E3" s="6" t="s">
        <v>68</v>
      </c>
      <c r="F3" s="6" t="n">
        <v>3</v>
      </c>
      <c r="G3" s="2" t="s">
        <v>95</v>
      </c>
      <c r="H3" s="2" t="s">
        <v>67</v>
      </c>
      <c r="I3" s="2" t="s">
        <v>571</v>
      </c>
      <c r="J3" s="6" t="s">
        <v>96</v>
      </c>
      <c r="K3" s="6" t="n">
        <f aca="false">COUNTIF(Tareas!$B$2:$B$135,A3)</f>
        <v>4</v>
      </c>
      <c r="L3" s="6" t="n">
        <f aca="false">COUNTIFS(Tareas!$B$2:$B$135,A3,Tareas!$P$2:$P$135,"Hecha")</f>
        <v>0</v>
      </c>
      <c r="M3" s="9" t="n">
        <f aca="false">IF(K3=0,0,L3/K3)</f>
        <v>0</v>
      </c>
    </row>
    <row r="4" customFormat="false" ht="23.85" hidden="false" customHeight="false" outlineLevel="0" collapsed="false">
      <c r="A4" s="6" t="s">
        <v>109</v>
      </c>
      <c r="B4" s="2" t="s">
        <v>110</v>
      </c>
      <c r="C4" s="2" t="s">
        <v>61</v>
      </c>
      <c r="D4" s="6" t="s">
        <v>112</v>
      </c>
      <c r="E4" s="6" t="s">
        <v>68</v>
      </c>
      <c r="F4" s="6" t="n">
        <v>1</v>
      </c>
      <c r="G4" s="2" t="s">
        <v>114</v>
      </c>
      <c r="H4" s="2" t="s">
        <v>67</v>
      </c>
      <c r="I4" s="2" t="s">
        <v>572</v>
      </c>
      <c r="J4" s="6" t="s">
        <v>96</v>
      </c>
      <c r="K4" s="6" t="n">
        <f aca="false">COUNTIF(Tareas!$B$2:$B$135,A4)</f>
        <v>3</v>
      </c>
      <c r="L4" s="6" t="n">
        <f aca="false">COUNTIFS(Tareas!$B$2:$B$135,A4,Tareas!$P$2:$P$135,"Hecha")</f>
        <v>0</v>
      </c>
      <c r="M4" s="9" t="n">
        <f aca="false">IF(K4=0,0,L4/K4)</f>
        <v>0</v>
      </c>
    </row>
    <row r="5" customFormat="false" ht="23.85" hidden="false" customHeight="false" outlineLevel="0" collapsed="false">
      <c r="A5" s="6" t="s">
        <v>124</v>
      </c>
      <c r="B5" s="2" t="s">
        <v>125</v>
      </c>
      <c r="C5" s="2" t="s">
        <v>114</v>
      </c>
      <c r="D5" s="6" t="s">
        <v>112</v>
      </c>
      <c r="E5" s="6" t="s">
        <v>68</v>
      </c>
      <c r="F5" s="6" t="n">
        <v>3</v>
      </c>
      <c r="G5" s="2" t="s">
        <v>127</v>
      </c>
      <c r="H5" s="2" t="s">
        <v>67</v>
      </c>
      <c r="I5" s="2" t="s">
        <v>573</v>
      </c>
      <c r="J5" s="6" t="s">
        <v>69</v>
      </c>
      <c r="K5" s="6" t="n">
        <f aca="false">COUNTIF(Tareas!$B$2:$B$135,A5)</f>
        <v>5</v>
      </c>
      <c r="L5" s="6" t="n">
        <f aca="false">COUNTIFS(Tareas!$B$2:$B$135,A5,Tareas!$P$2:$P$135,"Hecha")</f>
        <v>0</v>
      </c>
      <c r="M5" s="9" t="n">
        <f aca="false">IF(K5=0,0,L5/K5)</f>
        <v>0</v>
      </c>
    </row>
    <row r="6" customFormat="false" ht="23.85" hidden="false" customHeight="false" outlineLevel="0" collapsed="false">
      <c r="A6" s="6" t="s">
        <v>143</v>
      </c>
      <c r="B6" s="2" t="s">
        <v>144</v>
      </c>
      <c r="C6" s="2" t="s">
        <v>114</v>
      </c>
      <c r="D6" s="6" t="s">
        <v>112</v>
      </c>
      <c r="E6" s="6" t="s">
        <v>68</v>
      </c>
      <c r="F6" s="6" t="n">
        <v>2</v>
      </c>
      <c r="G6" s="2" t="s">
        <v>127</v>
      </c>
      <c r="H6" s="2" t="s">
        <v>67</v>
      </c>
      <c r="I6" s="2" t="s">
        <v>574</v>
      </c>
      <c r="J6" s="6" t="s">
        <v>96</v>
      </c>
      <c r="K6" s="6" t="n">
        <f aca="false">COUNTIF(Tareas!$B$2:$B$135,A6)</f>
        <v>5</v>
      </c>
      <c r="L6" s="6" t="n">
        <f aca="false">COUNTIFS(Tareas!$B$2:$B$135,A6,Tareas!$P$2:$P$135,"Hecha")</f>
        <v>0</v>
      </c>
      <c r="M6" s="9" t="n">
        <f aca="false">IF(K6=0,0,L6/K6)</f>
        <v>0</v>
      </c>
    </row>
    <row r="7" customFormat="false" ht="23.85" hidden="false" customHeight="false" outlineLevel="0" collapsed="false">
      <c r="A7" s="6" t="s">
        <v>159</v>
      </c>
      <c r="B7" s="2" t="s">
        <v>160</v>
      </c>
      <c r="C7" s="2" t="s">
        <v>161</v>
      </c>
      <c r="D7" s="6" t="s">
        <v>112</v>
      </c>
      <c r="E7" s="6" t="s">
        <v>68</v>
      </c>
      <c r="F7" s="6" t="n">
        <v>3</v>
      </c>
      <c r="G7" s="2" t="s">
        <v>163</v>
      </c>
      <c r="H7" s="2" t="s">
        <v>67</v>
      </c>
      <c r="I7" s="2" t="s">
        <v>575</v>
      </c>
      <c r="J7" s="6" t="s">
        <v>69</v>
      </c>
      <c r="K7" s="6" t="n">
        <f aca="false">COUNTIF(Tareas!$B$2:$B$135,A7)</f>
        <v>6</v>
      </c>
      <c r="L7" s="6" t="n">
        <f aca="false">COUNTIFS(Tareas!$B$2:$B$135,A7,Tareas!$P$2:$P$135,"Hecha")</f>
        <v>0</v>
      </c>
      <c r="M7" s="9" t="n">
        <f aca="false">IF(K7=0,0,L7/K7)</f>
        <v>0</v>
      </c>
    </row>
    <row r="8" customFormat="false" ht="23.85" hidden="false" customHeight="false" outlineLevel="0" collapsed="false">
      <c r="A8" s="6" t="s">
        <v>182</v>
      </c>
      <c r="B8" s="2" t="s">
        <v>183</v>
      </c>
      <c r="C8" s="2" t="s">
        <v>184</v>
      </c>
      <c r="D8" s="6" t="s">
        <v>186</v>
      </c>
      <c r="E8" s="6" t="s">
        <v>68</v>
      </c>
      <c r="F8" s="6" t="n">
        <v>5</v>
      </c>
      <c r="G8" s="2" t="s">
        <v>188</v>
      </c>
      <c r="H8" s="2" t="s">
        <v>67</v>
      </c>
      <c r="I8" s="2" t="s">
        <v>576</v>
      </c>
      <c r="J8" s="6" t="s">
        <v>69</v>
      </c>
      <c r="K8" s="6" t="n">
        <f aca="false">COUNTIF(Tareas!$B$2:$B$135,A8)</f>
        <v>7</v>
      </c>
      <c r="L8" s="6" t="n">
        <f aca="false">COUNTIFS(Tareas!$B$2:$B$135,A8,Tareas!$P$2:$P$135,"Hecha")</f>
        <v>0</v>
      </c>
      <c r="M8" s="9" t="n">
        <f aca="false">IF(K8=0,0,L8/K8)</f>
        <v>0</v>
      </c>
    </row>
    <row r="9" customFormat="false" ht="23.85" hidden="false" customHeight="false" outlineLevel="0" collapsed="false">
      <c r="A9" s="6" t="s">
        <v>208</v>
      </c>
      <c r="B9" s="2" t="s">
        <v>209</v>
      </c>
      <c r="C9" s="2" t="s">
        <v>184</v>
      </c>
      <c r="D9" s="6" t="s">
        <v>186</v>
      </c>
      <c r="E9" s="6" t="s">
        <v>68</v>
      </c>
      <c r="F9" s="6" t="n">
        <v>3</v>
      </c>
      <c r="G9" s="2" t="s">
        <v>188</v>
      </c>
      <c r="H9" s="2" t="s">
        <v>67</v>
      </c>
      <c r="I9" s="2" t="s">
        <v>577</v>
      </c>
      <c r="J9" s="6" t="s">
        <v>69</v>
      </c>
      <c r="K9" s="6" t="n">
        <f aca="false">COUNTIF(Tareas!$B$2:$B$135,A9)</f>
        <v>4</v>
      </c>
      <c r="L9" s="6" t="n">
        <f aca="false">COUNTIFS(Tareas!$B$2:$B$135,A9,Tareas!$P$2:$P$135,"Hecha")</f>
        <v>0</v>
      </c>
      <c r="M9" s="9" t="n">
        <f aca="false">IF(K9=0,0,L9/K9)</f>
        <v>0</v>
      </c>
    </row>
    <row r="10" customFormat="false" ht="15" hidden="false" customHeight="false" outlineLevel="0" collapsed="false">
      <c r="A10" s="6" t="s">
        <v>222</v>
      </c>
      <c r="B10" s="2" t="s">
        <v>223</v>
      </c>
      <c r="C10" s="2" t="s">
        <v>184</v>
      </c>
      <c r="D10" s="6" t="s">
        <v>186</v>
      </c>
      <c r="E10" s="6" t="s">
        <v>68</v>
      </c>
      <c r="F10" s="6" t="n">
        <v>2</v>
      </c>
      <c r="G10" s="2" t="s">
        <v>225</v>
      </c>
      <c r="H10" s="2" t="s">
        <v>67</v>
      </c>
      <c r="I10" s="2" t="s">
        <v>578</v>
      </c>
      <c r="J10" s="6" t="s">
        <v>69</v>
      </c>
      <c r="K10" s="6" t="n">
        <f aca="false">COUNTIF(Tareas!$B$2:$B$135,A10)</f>
        <v>3</v>
      </c>
      <c r="L10" s="6" t="n">
        <f aca="false">COUNTIFS(Tareas!$B$2:$B$135,A10,Tareas!$P$2:$P$135,"Hecha")</f>
        <v>0</v>
      </c>
      <c r="M10" s="9" t="n">
        <f aca="false">IF(K10=0,0,L10/K10)</f>
        <v>0</v>
      </c>
    </row>
    <row r="11" customFormat="false" ht="15" hidden="false" customHeight="false" outlineLevel="0" collapsed="false">
      <c r="A11" s="6" t="s">
        <v>231</v>
      </c>
      <c r="B11" s="2" t="s">
        <v>232</v>
      </c>
      <c r="C11" s="2" t="s">
        <v>184</v>
      </c>
      <c r="D11" s="6" t="s">
        <v>186</v>
      </c>
      <c r="E11" s="6" t="s">
        <v>68</v>
      </c>
      <c r="F11" s="6" t="n">
        <v>2</v>
      </c>
      <c r="G11" s="2" t="s">
        <v>225</v>
      </c>
      <c r="H11" s="2" t="s">
        <v>67</v>
      </c>
      <c r="I11" s="2" t="s">
        <v>579</v>
      </c>
      <c r="J11" s="6" t="s">
        <v>69</v>
      </c>
      <c r="K11" s="6" t="n">
        <f aca="false">COUNTIF(Tareas!$B$2:$B$135,A11)</f>
        <v>4</v>
      </c>
      <c r="L11" s="6" t="n">
        <f aca="false">COUNTIFS(Tareas!$B$2:$B$135,A11,Tareas!$P$2:$P$135,"Hecha")</f>
        <v>0</v>
      </c>
      <c r="M11" s="9" t="n">
        <f aca="false">IF(K11=0,0,L11/K11)</f>
        <v>0</v>
      </c>
    </row>
    <row r="12" customFormat="false" ht="15" hidden="false" customHeight="false" outlineLevel="0" collapsed="false">
      <c r="A12" s="6" t="s">
        <v>245</v>
      </c>
      <c r="B12" s="2" t="s">
        <v>246</v>
      </c>
      <c r="C12" s="2" t="s">
        <v>184</v>
      </c>
      <c r="D12" s="6" t="s">
        <v>186</v>
      </c>
      <c r="E12" s="6" t="s">
        <v>68</v>
      </c>
      <c r="F12" s="6" t="n">
        <v>3</v>
      </c>
      <c r="G12" s="2" t="s">
        <v>225</v>
      </c>
      <c r="H12" s="2" t="s">
        <v>67</v>
      </c>
      <c r="I12" s="2" t="s">
        <v>580</v>
      </c>
      <c r="J12" s="6" t="s">
        <v>96</v>
      </c>
      <c r="K12" s="6" t="n">
        <f aca="false">COUNTIF(Tareas!$B$2:$B$135,A12)</f>
        <v>4</v>
      </c>
      <c r="L12" s="6" t="n">
        <f aca="false">COUNTIFS(Tareas!$B$2:$B$135,A12,Tareas!$P$2:$P$135,"Hecha")</f>
        <v>0</v>
      </c>
      <c r="M12" s="9" t="n">
        <f aca="false">IF(K12=0,0,L12/K12)</f>
        <v>0</v>
      </c>
    </row>
    <row r="13" customFormat="false" ht="15" hidden="false" customHeight="false" outlineLevel="0" collapsed="false">
      <c r="A13" s="6" t="s">
        <v>261</v>
      </c>
      <c r="B13" s="2" t="s">
        <v>262</v>
      </c>
      <c r="C13" s="2" t="s">
        <v>184</v>
      </c>
      <c r="D13" s="6" t="s">
        <v>186</v>
      </c>
      <c r="E13" s="6" t="s">
        <v>68</v>
      </c>
      <c r="F13" s="6" t="n">
        <v>3</v>
      </c>
      <c r="G13" s="2" t="s">
        <v>225</v>
      </c>
      <c r="H13" s="2" t="s">
        <v>67</v>
      </c>
      <c r="I13" s="2" t="s">
        <v>581</v>
      </c>
      <c r="J13" s="6" t="s">
        <v>96</v>
      </c>
      <c r="K13" s="6" t="n">
        <f aca="false">COUNTIF(Tareas!$B$2:$B$135,A13)</f>
        <v>3</v>
      </c>
      <c r="L13" s="6" t="n">
        <f aca="false">COUNTIFS(Tareas!$B$2:$B$135,A13,Tareas!$P$2:$P$135,"Hecha")</f>
        <v>0</v>
      </c>
      <c r="M13" s="9" t="n">
        <f aca="false">IF(K13=0,0,L13/K13)</f>
        <v>0</v>
      </c>
    </row>
    <row r="14" customFormat="false" ht="23.85" hidden="false" customHeight="false" outlineLevel="0" collapsed="false">
      <c r="A14" s="6" t="s">
        <v>275</v>
      </c>
      <c r="B14" s="2" t="s">
        <v>276</v>
      </c>
      <c r="C14" s="2" t="s">
        <v>277</v>
      </c>
      <c r="D14" s="6" t="s">
        <v>112</v>
      </c>
      <c r="E14" s="6" t="s">
        <v>68</v>
      </c>
      <c r="F14" s="6" t="n">
        <v>5</v>
      </c>
      <c r="G14" s="2" t="s">
        <v>279</v>
      </c>
      <c r="H14" s="2" t="s">
        <v>67</v>
      </c>
      <c r="I14" s="2" t="s">
        <v>582</v>
      </c>
      <c r="J14" s="6" t="s">
        <v>96</v>
      </c>
      <c r="K14" s="6" t="n">
        <f aca="false">COUNTIF(Tareas!$B$2:$B$135,A14)</f>
        <v>6</v>
      </c>
      <c r="L14" s="6" t="n">
        <f aca="false">COUNTIFS(Tareas!$B$2:$B$135,A14,Tareas!$P$2:$P$135,"Hecha")</f>
        <v>0</v>
      </c>
      <c r="M14" s="9" t="n">
        <f aca="false">IF(K14=0,0,L14/K14)</f>
        <v>0</v>
      </c>
    </row>
    <row r="15" customFormat="false" ht="23.85" hidden="false" customHeight="false" outlineLevel="0" collapsed="false">
      <c r="A15" s="6" t="s">
        <v>295</v>
      </c>
      <c r="B15" s="2" t="s">
        <v>296</v>
      </c>
      <c r="C15" s="2" t="s">
        <v>297</v>
      </c>
      <c r="D15" s="6" t="s">
        <v>299</v>
      </c>
      <c r="E15" s="6" t="s">
        <v>68</v>
      </c>
      <c r="F15" s="6" t="n">
        <v>2</v>
      </c>
      <c r="G15" s="2" t="s">
        <v>301</v>
      </c>
      <c r="H15" s="2" t="s">
        <v>302</v>
      </c>
      <c r="I15" s="2" t="s">
        <v>583</v>
      </c>
      <c r="J15" s="6" t="s">
        <v>96</v>
      </c>
      <c r="K15" s="6" t="n">
        <f aca="false">COUNTIF(Tareas!$B$2:$B$135,A15)</f>
        <v>5</v>
      </c>
      <c r="L15" s="6" t="n">
        <f aca="false">COUNTIFS(Tareas!$B$2:$B$135,A15,Tareas!$P$2:$P$135,"Hecha")</f>
        <v>0</v>
      </c>
      <c r="M15" s="9" t="n">
        <f aca="false">IF(K15=0,0,L15/K15)</f>
        <v>0</v>
      </c>
    </row>
    <row r="16" customFormat="false" ht="23.85" hidden="false" customHeight="false" outlineLevel="0" collapsed="false">
      <c r="A16" s="6" t="s">
        <v>315</v>
      </c>
      <c r="B16" s="2" t="s">
        <v>316</v>
      </c>
      <c r="C16" s="2" t="s">
        <v>297</v>
      </c>
      <c r="D16" s="6" t="s">
        <v>299</v>
      </c>
      <c r="E16" s="6" t="s">
        <v>68</v>
      </c>
      <c r="F16" s="6" t="n">
        <v>3</v>
      </c>
      <c r="G16" s="2" t="s">
        <v>301</v>
      </c>
      <c r="H16" s="2" t="s">
        <v>302</v>
      </c>
      <c r="I16" s="2" t="s">
        <v>584</v>
      </c>
      <c r="J16" s="6" t="s">
        <v>69</v>
      </c>
      <c r="K16" s="6" t="n">
        <f aca="false">COUNTIF(Tareas!$B$2:$B$135,A16)</f>
        <v>6</v>
      </c>
      <c r="L16" s="6" t="n">
        <f aca="false">COUNTIFS(Tareas!$B$2:$B$135,A16,Tareas!$P$2:$P$135,"Hecha")</f>
        <v>0</v>
      </c>
      <c r="M16" s="9" t="n">
        <f aca="false">IF(K16=0,0,L16/K16)</f>
        <v>0</v>
      </c>
    </row>
    <row r="17" customFormat="false" ht="23.85" hidden="false" customHeight="false" outlineLevel="0" collapsed="false">
      <c r="A17" s="6" t="s">
        <v>341</v>
      </c>
      <c r="B17" s="2" t="s">
        <v>342</v>
      </c>
      <c r="C17" s="2" t="s">
        <v>108</v>
      </c>
      <c r="D17" s="6" t="s">
        <v>92</v>
      </c>
      <c r="E17" s="6" t="s">
        <v>68</v>
      </c>
      <c r="F17" s="6" t="n">
        <v>8</v>
      </c>
      <c r="G17" s="2" t="s">
        <v>344</v>
      </c>
      <c r="H17" s="2" t="s">
        <v>345</v>
      </c>
      <c r="I17" s="2" t="s">
        <v>585</v>
      </c>
      <c r="J17" s="6" t="s">
        <v>96</v>
      </c>
      <c r="K17" s="6" t="n">
        <f aca="false">COUNTIF(Tareas!$B$2:$B$135,A17)</f>
        <v>8</v>
      </c>
      <c r="L17" s="6" t="n">
        <f aca="false">COUNTIFS(Tareas!$B$2:$B$135,A17,Tareas!$P$2:$P$135,"Hecha")</f>
        <v>0</v>
      </c>
      <c r="M17" s="9" t="n">
        <f aca="false">IF(K17=0,0,L17/K17)</f>
        <v>0</v>
      </c>
    </row>
    <row r="18" customFormat="false" ht="15" hidden="false" customHeight="false" outlineLevel="0" collapsed="false">
      <c r="A18" s="6" t="s">
        <v>368</v>
      </c>
      <c r="B18" s="2" t="s">
        <v>369</v>
      </c>
      <c r="C18" s="2" t="s">
        <v>108</v>
      </c>
      <c r="D18" s="6" t="s">
        <v>92</v>
      </c>
      <c r="E18" s="6" t="s">
        <v>68</v>
      </c>
      <c r="F18" s="6" t="n">
        <v>2</v>
      </c>
      <c r="G18" s="2" t="s">
        <v>371</v>
      </c>
      <c r="H18" s="2" t="s">
        <v>345</v>
      </c>
      <c r="I18" s="2" t="s">
        <v>586</v>
      </c>
      <c r="J18" s="6" t="s">
        <v>69</v>
      </c>
      <c r="K18" s="6" t="n">
        <f aca="false">COUNTIF(Tareas!$B$2:$B$135,A18)</f>
        <v>3</v>
      </c>
      <c r="L18" s="6" t="n">
        <f aca="false">COUNTIFS(Tareas!$B$2:$B$135,A18,Tareas!$P$2:$P$135,"Hecha")</f>
        <v>0</v>
      </c>
      <c r="M18" s="9" t="n">
        <f aca="false">IF(K18=0,0,L18/K18)</f>
        <v>0</v>
      </c>
    </row>
    <row r="19" customFormat="false" ht="23.85" hidden="false" customHeight="false" outlineLevel="0" collapsed="false">
      <c r="A19" s="6" t="s">
        <v>383</v>
      </c>
      <c r="B19" s="2" t="s">
        <v>384</v>
      </c>
      <c r="C19" s="2" t="s">
        <v>385</v>
      </c>
      <c r="D19" s="6" t="s">
        <v>387</v>
      </c>
      <c r="E19" s="6" t="s">
        <v>390</v>
      </c>
      <c r="F19" s="6" t="n">
        <v>3</v>
      </c>
      <c r="G19" s="2" t="s">
        <v>389</v>
      </c>
      <c r="H19" s="2" t="s">
        <v>67</v>
      </c>
      <c r="I19" s="2" t="s">
        <v>587</v>
      </c>
      <c r="J19" s="6" t="s">
        <v>96</v>
      </c>
      <c r="K19" s="6" t="n">
        <f aca="false">COUNTIF(Tareas!$B$2:$B$135,A19)</f>
        <v>4</v>
      </c>
      <c r="L19" s="6" t="n">
        <f aca="false">COUNTIFS(Tareas!$B$2:$B$135,A19,Tareas!$P$2:$P$135,"Hecha")</f>
        <v>0</v>
      </c>
      <c r="M19" s="9" t="n">
        <f aca="false">IF(K19=0,0,L19/K19)</f>
        <v>0</v>
      </c>
    </row>
    <row r="20" customFormat="false" ht="23.85" hidden="false" customHeight="false" outlineLevel="0" collapsed="false">
      <c r="A20" s="6" t="s">
        <v>400</v>
      </c>
      <c r="B20" s="2" t="s">
        <v>401</v>
      </c>
      <c r="C20" s="2" t="s">
        <v>402</v>
      </c>
      <c r="D20" s="6" t="s">
        <v>63</v>
      </c>
      <c r="E20" s="6" t="s">
        <v>68</v>
      </c>
      <c r="F20" s="6" t="n">
        <v>2</v>
      </c>
      <c r="G20" s="2" t="s">
        <v>371</v>
      </c>
      <c r="H20" s="2" t="s">
        <v>404</v>
      </c>
      <c r="I20" s="2" t="s">
        <v>588</v>
      </c>
      <c r="J20" s="6" t="s">
        <v>96</v>
      </c>
      <c r="K20" s="6" t="n">
        <f aca="false">COUNTIF(Tareas!$B$2:$B$135,A20)</f>
        <v>3</v>
      </c>
      <c r="L20" s="6" t="n">
        <f aca="false">COUNTIFS(Tareas!$B$2:$B$135,A20,Tareas!$P$2:$P$135,"Hecha")</f>
        <v>0</v>
      </c>
      <c r="M20" s="9" t="n">
        <f aca="false">IF(K20=0,0,L20/K20)</f>
        <v>0</v>
      </c>
    </row>
    <row r="21" customFormat="false" ht="23.85" hidden="false" customHeight="false" outlineLevel="0" collapsed="false">
      <c r="A21" s="6" t="s">
        <v>414</v>
      </c>
      <c r="B21" s="2" t="s">
        <v>415</v>
      </c>
      <c r="C21" s="2" t="s">
        <v>402</v>
      </c>
      <c r="D21" s="6" t="s">
        <v>63</v>
      </c>
      <c r="E21" s="6" t="s">
        <v>68</v>
      </c>
      <c r="F21" s="6" t="n">
        <v>2</v>
      </c>
      <c r="G21" s="2" t="s">
        <v>371</v>
      </c>
      <c r="H21" s="2" t="s">
        <v>404</v>
      </c>
      <c r="I21" s="2" t="s">
        <v>589</v>
      </c>
      <c r="J21" s="6" t="s">
        <v>96</v>
      </c>
      <c r="K21" s="6" t="n">
        <f aca="false">COUNTIF(Tareas!$B$2:$B$135,A21)</f>
        <v>3</v>
      </c>
      <c r="L21" s="6" t="n">
        <f aca="false">COUNTIFS(Tareas!$B$2:$B$135,A21,Tareas!$P$2:$P$135,"Hecha")</f>
        <v>0</v>
      </c>
      <c r="M21" s="9" t="n">
        <f aca="false">IF(K21=0,0,L21/K21)</f>
        <v>0</v>
      </c>
    </row>
    <row r="22" customFormat="false" ht="15" hidden="false" customHeight="false" outlineLevel="0" collapsed="false">
      <c r="A22" s="6" t="s">
        <v>425</v>
      </c>
      <c r="B22" s="2" t="s">
        <v>426</v>
      </c>
      <c r="C22" s="2" t="s">
        <v>402</v>
      </c>
      <c r="D22" s="6" t="s">
        <v>63</v>
      </c>
      <c r="E22" s="6" t="s">
        <v>68</v>
      </c>
      <c r="F22" s="6" t="n">
        <v>5</v>
      </c>
      <c r="G22" s="2" t="s">
        <v>371</v>
      </c>
      <c r="H22" s="2" t="s">
        <v>429</v>
      </c>
      <c r="I22" s="2" t="s">
        <v>443</v>
      </c>
      <c r="J22" s="6" t="s">
        <v>96</v>
      </c>
      <c r="K22" s="6" t="n">
        <f aca="false">COUNTIF(Tareas!$B$2:$B$135,A22)</f>
        <v>7</v>
      </c>
      <c r="L22" s="6" t="n">
        <f aca="false">COUNTIFS(Tareas!$B$2:$B$135,A22,Tareas!$P$2:$P$135,"Hecha")</f>
        <v>0</v>
      </c>
      <c r="M22" s="9" t="n">
        <f aca="false">IF(K22=0,0,L22/K22)</f>
        <v>0</v>
      </c>
    </row>
    <row r="23" customFormat="false" ht="15" hidden="false" customHeight="false" outlineLevel="0" collapsed="false">
      <c r="A23" s="6" t="s">
        <v>451</v>
      </c>
      <c r="B23" s="2" t="s">
        <v>452</v>
      </c>
      <c r="C23" s="2" t="s">
        <v>371</v>
      </c>
      <c r="D23" s="6" t="s">
        <v>63</v>
      </c>
      <c r="E23" s="6" t="s">
        <v>68</v>
      </c>
      <c r="F23" s="6" t="n">
        <v>1</v>
      </c>
      <c r="G23" s="2" t="s">
        <v>371</v>
      </c>
      <c r="H23" s="2" t="s">
        <v>452</v>
      </c>
      <c r="I23" s="2" t="s">
        <v>586</v>
      </c>
      <c r="J23" s="6" t="s">
        <v>96</v>
      </c>
      <c r="K23" s="6" t="n">
        <f aca="false">COUNTIF(Tareas!$B$2:$B$135,A23)</f>
        <v>2</v>
      </c>
      <c r="L23" s="6" t="n">
        <f aca="false">COUNTIFS(Tareas!$B$2:$B$135,A23,Tareas!$P$2:$P$135,"Hecha")</f>
        <v>0</v>
      </c>
      <c r="M23" s="9" t="n">
        <f aca="false">IF(K23=0,0,L23/K23)</f>
        <v>0</v>
      </c>
    </row>
    <row r="24" customFormat="false" ht="15" hidden="false" customHeight="false" outlineLevel="0" collapsed="false">
      <c r="A24" s="6" t="s">
        <v>459</v>
      </c>
      <c r="B24" s="2" t="s">
        <v>460</v>
      </c>
      <c r="C24" s="2" t="s">
        <v>371</v>
      </c>
      <c r="D24" s="6" t="s">
        <v>462</v>
      </c>
      <c r="E24" s="6" t="s">
        <v>68</v>
      </c>
      <c r="F24" s="6" t="n">
        <v>3</v>
      </c>
      <c r="G24" s="2" t="s">
        <v>371</v>
      </c>
      <c r="H24" s="2" t="s">
        <v>460</v>
      </c>
      <c r="I24" s="2" t="s">
        <v>586</v>
      </c>
      <c r="J24" s="6" t="s">
        <v>96</v>
      </c>
      <c r="K24" s="6" t="n">
        <f aca="false">COUNTIF(Tareas!$B$2:$B$135,A24)</f>
        <v>5</v>
      </c>
      <c r="L24" s="6" t="n">
        <f aca="false">COUNTIFS(Tareas!$B$2:$B$135,A24,Tareas!$P$2:$P$135,"Hecha")</f>
        <v>0</v>
      </c>
      <c r="M24" s="9" t="n">
        <f aca="false">IF(K24=0,0,L24/K24)</f>
        <v>0</v>
      </c>
    </row>
    <row r="25" customFormat="false" ht="15" hidden="false" customHeight="false" outlineLevel="0" collapsed="false">
      <c r="A25" s="6" t="s">
        <v>474</v>
      </c>
      <c r="B25" s="2" t="s">
        <v>475</v>
      </c>
      <c r="C25" s="2" t="s">
        <v>371</v>
      </c>
      <c r="D25" s="6" t="s">
        <v>299</v>
      </c>
      <c r="E25" s="6" t="s">
        <v>68</v>
      </c>
      <c r="F25" s="6" t="n">
        <v>3</v>
      </c>
      <c r="G25" s="2" t="s">
        <v>371</v>
      </c>
      <c r="H25" s="2" t="s">
        <v>477</v>
      </c>
      <c r="I25" s="2" t="s">
        <v>586</v>
      </c>
      <c r="J25" s="6" t="s">
        <v>96</v>
      </c>
      <c r="K25" s="6" t="n">
        <f aca="false">COUNTIF(Tareas!$B$2:$B$135,A25)</f>
        <v>4</v>
      </c>
      <c r="L25" s="6" t="n">
        <f aca="false">COUNTIFS(Tareas!$B$2:$B$135,A25,Tareas!$P$2:$P$135,"Hecha")</f>
        <v>0</v>
      </c>
      <c r="M25" s="9" t="n">
        <f aca="false">IF(K25=0,0,L25/K25)</f>
        <v>0</v>
      </c>
    </row>
    <row r="26" customFormat="false" ht="15" hidden="false" customHeight="false" outlineLevel="0" collapsed="false">
      <c r="A26" s="6" t="s">
        <v>487</v>
      </c>
      <c r="B26" s="2" t="s">
        <v>488</v>
      </c>
      <c r="C26" s="2" t="s">
        <v>371</v>
      </c>
      <c r="D26" s="6" t="s">
        <v>462</v>
      </c>
      <c r="E26" s="6" t="s">
        <v>68</v>
      </c>
      <c r="F26" s="6" t="n">
        <v>3</v>
      </c>
      <c r="G26" s="2" t="s">
        <v>371</v>
      </c>
      <c r="H26" s="2" t="s">
        <v>488</v>
      </c>
      <c r="I26" s="2" t="s">
        <v>590</v>
      </c>
      <c r="J26" s="6" t="s">
        <v>96</v>
      </c>
      <c r="K26" s="6" t="n">
        <f aca="false">COUNTIF(Tareas!$B$2:$B$135,A26)</f>
        <v>4</v>
      </c>
      <c r="L26" s="6" t="n">
        <f aca="false">COUNTIFS(Tareas!$B$2:$B$135,A26,Tareas!$P$2:$P$135,"Hecha")</f>
        <v>0</v>
      </c>
      <c r="M26" s="9" t="n">
        <f aca="false">IF(K26=0,0,L26/K26)</f>
        <v>0</v>
      </c>
    </row>
    <row r="27" customFormat="false" ht="15" hidden="false" customHeight="false" outlineLevel="0" collapsed="false">
      <c r="A27" s="6" t="s">
        <v>498</v>
      </c>
      <c r="B27" s="2" t="s">
        <v>499</v>
      </c>
      <c r="C27" s="2" t="s">
        <v>371</v>
      </c>
      <c r="D27" s="6" t="s">
        <v>92</v>
      </c>
      <c r="E27" s="6" t="s">
        <v>68</v>
      </c>
      <c r="F27" s="6" t="n">
        <v>5</v>
      </c>
      <c r="G27" s="2" t="s">
        <v>371</v>
      </c>
      <c r="H27" s="2" t="s">
        <v>501</v>
      </c>
      <c r="I27" s="2" t="s">
        <v>586</v>
      </c>
      <c r="J27" s="6" t="s">
        <v>69</v>
      </c>
      <c r="K27" s="6" t="n">
        <f aca="false">COUNTIF(Tareas!$B$2:$B$135,A27)</f>
        <v>6</v>
      </c>
      <c r="L27" s="6" t="n">
        <f aca="false">COUNTIFS(Tareas!$B$2:$B$135,A27,Tareas!$P$2:$P$135,"Hecha")</f>
        <v>0</v>
      </c>
      <c r="M27" s="9" t="n">
        <f aca="false">IF(K27=0,0,L27/K27)</f>
        <v>0</v>
      </c>
    </row>
    <row r="28" customFormat="false" ht="23.85" hidden="false" customHeight="false" outlineLevel="0" collapsed="false">
      <c r="A28" s="6" t="s">
        <v>518</v>
      </c>
      <c r="B28" s="2" t="s">
        <v>519</v>
      </c>
      <c r="C28" s="2" t="s">
        <v>371</v>
      </c>
      <c r="D28" s="6" t="s">
        <v>387</v>
      </c>
      <c r="E28" s="6" t="s">
        <v>390</v>
      </c>
      <c r="F28" s="6" t="n">
        <v>1</v>
      </c>
      <c r="G28" s="2" t="s">
        <v>371</v>
      </c>
      <c r="H28" s="2" t="s">
        <v>404</v>
      </c>
      <c r="I28" s="2" t="s">
        <v>591</v>
      </c>
      <c r="J28" s="6" t="s">
        <v>96</v>
      </c>
      <c r="K28" s="6" t="n">
        <f aca="false">COUNTIF(Tareas!$B$2:$B$135,A28)</f>
        <v>2</v>
      </c>
      <c r="L28" s="6" t="n">
        <f aca="false">COUNTIFS(Tareas!$B$2:$B$135,A28,Tareas!$P$2:$P$135,"Hecha")</f>
        <v>0</v>
      </c>
      <c r="M28" s="9" t="n">
        <f aca="false">IF(K28=0,0,L28/K28)</f>
        <v>0</v>
      </c>
    </row>
    <row r="29" customFormat="false" ht="15" hidden="false" customHeight="false" outlineLevel="0" collapsed="false">
      <c r="A29" s="6" t="s">
        <v>524</v>
      </c>
      <c r="B29" s="2" t="s">
        <v>525</v>
      </c>
      <c r="C29" s="2" t="s">
        <v>526</v>
      </c>
      <c r="D29" s="6" t="s">
        <v>462</v>
      </c>
      <c r="E29" s="6" t="s">
        <v>68</v>
      </c>
      <c r="F29" s="6" t="n">
        <v>2</v>
      </c>
      <c r="G29" s="2" t="s">
        <v>371</v>
      </c>
      <c r="H29" s="2" t="s">
        <v>528</v>
      </c>
      <c r="I29" s="2" t="s">
        <v>592</v>
      </c>
      <c r="J29" s="6" t="s">
        <v>96</v>
      </c>
      <c r="K29" s="6" t="n">
        <f aca="false">COUNTIF(Tareas!$B$2:$B$135,A29)</f>
        <v>4</v>
      </c>
      <c r="L29" s="6" t="n">
        <f aca="false">COUNTIFS(Tareas!$B$2:$B$135,A29,Tareas!$P$2:$P$135,"Hecha")</f>
        <v>0</v>
      </c>
      <c r="M29" s="9" t="n">
        <f aca="false">IF(K29=0,0,L29/K29)</f>
        <v>0</v>
      </c>
    </row>
    <row r="30" customFormat="false" ht="15" hidden="false" customHeight="false" outlineLevel="0" collapsed="false">
      <c r="A30" s="6" t="s">
        <v>539</v>
      </c>
      <c r="B30" s="2" t="s">
        <v>540</v>
      </c>
      <c r="C30" s="2" t="s">
        <v>526</v>
      </c>
      <c r="D30" s="6" t="s">
        <v>387</v>
      </c>
      <c r="E30" s="6" t="s">
        <v>68</v>
      </c>
      <c r="F30" s="6" t="n">
        <v>2</v>
      </c>
      <c r="G30" s="2" t="s">
        <v>371</v>
      </c>
      <c r="H30" s="2" t="s">
        <v>542</v>
      </c>
      <c r="I30" s="2" t="s">
        <v>593</v>
      </c>
      <c r="J30" s="6" t="s">
        <v>96</v>
      </c>
      <c r="K30" s="6" t="n">
        <f aca="false">COUNTIF(Tareas!$B$2:$B$135,A30)</f>
        <v>5</v>
      </c>
      <c r="L30" s="6" t="n">
        <f aca="false">COUNTIFS(Tareas!$B$2:$B$135,A30,Tareas!$P$2:$P$135,"Hecha")</f>
        <v>0</v>
      </c>
      <c r="M30" s="9" t="n">
        <f aca="false">IF(K30=0,0,L30/K30)</f>
        <v>0</v>
      </c>
    </row>
    <row r="31" customFormat="false" ht="15" hidden="false" customHeight="false" outlineLevel="0" collapsed="false">
      <c r="A31" s="6" t="s">
        <v>554</v>
      </c>
      <c r="B31" s="2" t="s">
        <v>555</v>
      </c>
      <c r="C31" s="2" t="s">
        <v>526</v>
      </c>
      <c r="D31" s="6" t="s">
        <v>387</v>
      </c>
      <c r="E31" s="6" t="s">
        <v>68</v>
      </c>
      <c r="F31" s="6" t="n">
        <v>2</v>
      </c>
      <c r="G31" s="2" t="s">
        <v>371</v>
      </c>
      <c r="H31" s="2" t="s">
        <v>542</v>
      </c>
      <c r="I31" s="2" t="s">
        <v>586</v>
      </c>
      <c r="J31" s="6" t="s">
        <v>69</v>
      </c>
      <c r="K31" s="6" t="n">
        <f aca="false">COUNTIF(Tareas!$B$2:$B$135,A31)</f>
        <v>4</v>
      </c>
      <c r="L31" s="6" t="n">
        <f aca="false">COUNTIFS(Tareas!$B$2:$B$135,A31,Tareas!$P$2:$P$135,"Hecha")</f>
        <v>0</v>
      </c>
      <c r="M31" s="9" t="n">
        <f aca="false">IF(K31=0,0,L31/K31)</f>
        <v>0</v>
      </c>
    </row>
    <row r="32" customFormat="false" ht="15" hidden="false" customHeight="false" outlineLevel="0" collapsed="false">
      <c r="A32" s="10" t="s">
        <v>594</v>
      </c>
      <c r="F32" s="10" t="n">
        <f aca="false">SUM(F2:F31)</f>
        <v>86</v>
      </c>
      <c r="K32" s="10" t="n">
        <f aca="false">SUM(K2:K31)</f>
        <v>134</v>
      </c>
      <c r="L32" s="10" t="n">
        <f aca="false">SUM(L2:L31)</f>
        <v>0</v>
      </c>
      <c r="M32" s="11" t="n">
        <f aca="false">IF(K32=0,0,L32/K32)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9"/>
  </cols>
  <sheetData>
    <row r="1" customFormat="false" ht="31.5" hidden="false" customHeight="true" outlineLevel="0" collapsed="false">
      <c r="A1" s="5" t="s">
        <v>595</v>
      </c>
      <c r="B1" s="5" t="s">
        <v>50</v>
      </c>
      <c r="C1" s="5" t="s">
        <v>596</v>
      </c>
      <c r="D1" s="5" t="s">
        <v>25</v>
      </c>
      <c r="E1" s="5" t="s">
        <v>597</v>
      </c>
      <c r="F1" s="5" t="s">
        <v>567</v>
      </c>
      <c r="G1" s="5" t="s">
        <v>598</v>
      </c>
      <c r="H1" s="5" t="s">
        <v>599</v>
      </c>
      <c r="I1" s="5" t="s">
        <v>600</v>
      </c>
      <c r="J1" s="5" t="s">
        <v>601</v>
      </c>
      <c r="K1" s="5" t="s">
        <v>569</v>
      </c>
    </row>
    <row r="2" customFormat="false" ht="15" hidden="false" customHeight="false" outlineLevel="0" collapsed="false">
      <c r="A2" s="2" t="s">
        <v>186</v>
      </c>
      <c r="B2" s="2" t="s">
        <v>187</v>
      </c>
      <c r="C2" s="6" t="n">
        <f aca="false">COUNTIF(Historias!$D$2:$D$31,A2)</f>
        <v>6</v>
      </c>
      <c r="D2" s="6" t="n">
        <f aca="false">SUMIF(Historias!$D$2:$D$31,A2,Historias!$F$2:$F$31)</f>
        <v>18</v>
      </c>
      <c r="E2" s="6" t="n">
        <f aca="false">D2*$B$13</f>
        <v>36</v>
      </c>
      <c r="F2" s="6" t="n">
        <f aca="false">COUNTIF(Tareas!$F$2:$F$135,A2)</f>
        <v>25</v>
      </c>
      <c r="G2" s="6" t="n">
        <f aca="false">COUNTIFS(Tareas!$F$2:$F$135,A2,Tareas!$P$2:$P$135,"Pendiente")</f>
        <v>25</v>
      </c>
      <c r="H2" s="6" t="n">
        <f aca="false">COUNTIFS(Tareas!$F$2:$F$135,A2,Tareas!$P$2:$P$135,"En curso")</f>
        <v>0</v>
      </c>
      <c r="I2" s="6" t="n">
        <f aca="false">COUNTIFS(Tareas!$F$2:$F$135,A2,Tareas!$P$2:$P$135,"Bloqueada")</f>
        <v>0</v>
      </c>
      <c r="J2" s="6" t="n">
        <f aca="false">COUNTIFS(Tareas!$F$2:$F$135,A2,Tareas!$P$2:$P$135,"Hecha")</f>
        <v>0</v>
      </c>
      <c r="K2" s="9" t="n">
        <f aca="false">IF(F2=0,0,J2/F2)</f>
        <v>0</v>
      </c>
    </row>
    <row r="3" customFormat="false" ht="15" hidden="false" customHeight="false" outlineLevel="0" collapsed="false">
      <c r="A3" s="2" t="s">
        <v>92</v>
      </c>
      <c r="B3" s="2" t="s">
        <v>93</v>
      </c>
      <c r="C3" s="6" t="n">
        <f aca="false">COUNTIF(Historias!$D$2:$D$31,A3)</f>
        <v>4</v>
      </c>
      <c r="D3" s="6" t="n">
        <f aca="false">SUMIF(Historias!$D$2:$D$31,A3,Historias!$F$2:$F$31)</f>
        <v>18</v>
      </c>
      <c r="E3" s="6" t="n">
        <f aca="false">D3*$B$13</f>
        <v>36</v>
      </c>
      <c r="F3" s="6" t="n">
        <f aca="false">COUNTIF(Tareas!$F$2:$F$135,A3)</f>
        <v>21</v>
      </c>
      <c r="G3" s="6" t="n">
        <f aca="false">COUNTIFS(Tareas!$F$2:$F$135,A3,Tareas!$P$2:$P$135,"Pendiente")</f>
        <v>21</v>
      </c>
      <c r="H3" s="6" t="n">
        <f aca="false">COUNTIFS(Tareas!$F$2:$F$135,A3,Tareas!$P$2:$P$135,"En curso")</f>
        <v>0</v>
      </c>
      <c r="I3" s="6" t="n">
        <f aca="false">COUNTIFS(Tareas!$F$2:$F$135,A3,Tareas!$P$2:$P$135,"Bloqueada")</f>
        <v>0</v>
      </c>
      <c r="J3" s="6" t="n">
        <f aca="false">COUNTIFS(Tareas!$F$2:$F$135,A3,Tareas!$P$2:$P$135,"Hecha")</f>
        <v>0</v>
      </c>
      <c r="K3" s="9" t="n">
        <f aca="false">IF(F3=0,0,J3/F3)</f>
        <v>0</v>
      </c>
    </row>
    <row r="4" customFormat="false" ht="15" hidden="false" customHeight="false" outlineLevel="0" collapsed="false">
      <c r="A4" s="2" t="s">
        <v>112</v>
      </c>
      <c r="B4" s="2" t="s">
        <v>113</v>
      </c>
      <c r="C4" s="6" t="n">
        <f aca="false">COUNTIF(Historias!$D$2:$D$31,A4)</f>
        <v>5</v>
      </c>
      <c r="D4" s="6" t="n">
        <f aca="false">SUMIF(Historias!$D$2:$D$31,A4,Historias!$F$2:$F$31)</f>
        <v>14</v>
      </c>
      <c r="E4" s="6" t="n">
        <f aca="false">D4*$B$13</f>
        <v>28</v>
      </c>
      <c r="F4" s="6" t="n">
        <f aca="false">COUNTIF(Tareas!$F$2:$F$135,A4)</f>
        <v>25</v>
      </c>
      <c r="G4" s="6" t="n">
        <f aca="false">COUNTIFS(Tareas!$F$2:$F$135,A4,Tareas!$P$2:$P$135,"Pendiente")</f>
        <v>25</v>
      </c>
      <c r="H4" s="6" t="n">
        <f aca="false">COUNTIFS(Tareas!$F$2:$F$135,A4,Tareas!$P$2:$P$135,"En curso")</f>
        <v>0</v>
      </c>
      <c r="I4" s="6" t="n">
        <f aca="false">COUNTIFS(Tareas!$F$2:$F$135,A4,Tareas!$P$2:$P$135,"Bloqueada")</f>
        <v>0</v>
      </c>
      <c r="J4" s="6" t="n">
        <f aca="false">COUNTIFS(Tareas!$F$2:$F$135,A4,Tareas!$P$2:$P$135,"Hecha")</f>
        <v>0</v>
      </c>
      <c r="K4" s="9" t="n">
        <f aca="false">IF(F4=0,0,J4/F4)</f>
        <v>0</v>
      </c>
    </row>
    <row r="5" customFormat="false" ht="15" hidden="false" customHeight="false" outlineLevel="0" collapsed="false">
      <c r="A5" s="2" t="s">
        <v>63</v>
      </c>
      <c r="B5" s="2" t="s">
        <v>64</v>
      </c>
      <c r="C5" s="6" t="n">
        <f aca="false">COUNTIF(Historias!$D$2:$D$31,A5)</f>
        <v>5</v>
      </c>
      <c r="D5" s="6" t="n">
        <f aca="false">SUMIF(Historias!$D$2:$D$31,A5,Historias!$F$2:$F$31)</f>
        <v>12</v>
      </c>
      <c r="E5" s="6" t="n">
        <f aca="false">D5*$B$13</f>
        <v>24</v>
      </c>
      <c r="F5" s="6" t="n">
        <f aca="false">COUNTIF(Tareas!$F$2:$F$135,A5)</f>
        <v>20</v>
      </c>
      <c r="G5" s="6" t="n">
        <f aca="false">COUNTIFS(Tareas!$F$2:$F$135,A5,Tareas!$P$2:$P$135,"Pendiente")</f>
        <v>20</v>
      </c>
      <c r="H5" s="6" t="n">
        <f aca="false">COUNTIFS(Tareas!$F$2:$F$135,A5,Tareas!$P$2:$P$135,"En curso")</f>
        <v>0</v>
      </c>
      <c r="I5" s="6" t="n">
        <f aca="false">COUNTIFS(Tareas!$F$2:$F$135,A5,Tareas!$P$2:$P$135,"Bloqueada")</f>
        <v>0</v>
      </c>
      <c r="J5" s="6" t="n">
        <f aca="false">COUNTIFS(Tareas!$F$2:$F$135,A5,Tareas!$P$2:$P$135,"Hecha")</f>
        <v>0</v>
      </c>
      <c r="K5" s="9" t="n">
        <f aca="false">IF(F5=0,0,J5/F5)</f>
        <v>0</v>
      </c>
    </row>
    <row r="6" customFormat="false" ht="15" hidden="false" customHeight="false" outlineLevel="0" collapsed="false">
      <c r="A6" s="2" t="s">
        <v>299</v>
      </c>
      <c r="B6" s="2" t="s">
        <v>300</v>
      </c>
      <c r="C6" s="6" t="n">
        <f aca="false">COUNTIF(Historias!$D$2:$D$31,A6)</f>
        <v>3</v>
      </c>
      <c r="D6" s="6" t="n">
        <f aca="false">SUMIF(Historias!$D$2:$D$31,A6,Historias!$F$2:$F$31)</f>
        <v>8</v>
      </c>
      <c r="E6" s="6" t="n">
        <f aca="false">D6*$B$13</f>
        <v>16</v>
      </c>
      <c r="F6" s="6" t="n">
        <f aca="false">COUNTIF(Tareas!$F$2:$F$135,A6)</f>
        <v>15</v>
      </c>
      <c r="G6" s="6" t="n">
        <f aca="false">COUNTIFS(Tareas!$F$2:$F$135,A6,Tareas!$P$2:$P$135,"Pendiente")</f>
        <v>15</v>
      </c>
      <c r="H6" s="6" t="n">
        <f aca="false">COUNTIFS(Tareas!$F$2:$F$135,A6,Tareas!$P$2:$P$135,"En curso")</f>
        <v>0</v>
      </c>
      <c r="I6" s="6" t="n">
        <f aca="false">COUNTIFS(Tareas!$F$2:$F$135,A6,Tareas!$P$2:$P$135,"Bloqueada")</f>
        <v>0</v>
      </c>
      <c r="J6" s="6" t="n">
        <f aca="false">COUNTIFS(Tareas!$F$2:$F$135,A6,Tareas!$P$2:$P$135,"Hecha")</f>
        <v>0</v>
      </c>
      <c r="K6" s="9" t="n">
        <f aca="false">IF(F6=0,0,J6/F6)</f>
        <v>0</v>
      </c>
    </row>
    <row r="7" customFormat="false" ht="15" hidden="false" customHeight="false" outlineLevel="0" collapsed="false">
      <c r="A7" s="2" t="s">
        <v>462</v>
      </c>
      <c r="B7" s="2" t="s">
        <v>463</v>
      </c>
      <c r="C7" s="6" t="n">
        <f aca="false">COUNTIF(Historias!$D$2:$D$31,A7)</f>
        <v>3</v>
      </c>
      <c r="D7" s="6" t="n">
        <f aca="false">SUMIF(Historias!$D$2:$D$31,A7,Historias!$F$2:$F$31)</f>
        <v>8</v>
      </c>
      <c r="E7" s="6" t="n">
        <f aca="false">D7*$B$13</f>
        <v>16</v>
      </c>
      <c r="F7" s="6" t="n">
        <f aca="false">COUNTIF(Tareas!$F$2:$F$135,A7)</f>
        <v>13</v>
      </c>
      <c r="G7" s="6" t="n">
        <f aca="false">COUNTIFS(Tareas!$F$2:$F$135,A7,Tareas!$P$2:$P$135,"Pendiente")</f>
        <v>13</v>
      </c>
      <c r="H7" s="6" t="n">
        <f aca="false">COUNTIFS(Tareas!$F$2:$F$135,A7,Tareas!$P$2:$P$135,"En curso")</f>
        <v>0</v>
      </c>
      <c r="I7" s="6" t="n">
        <f aca="false">COUNTIFS(Tareas!$F$2:$F$135,A7,Tareas!$P$2:$P$135,"Bloqueada")</f>
        <v>0</v>
      </c>
      <c r="J7" s="6" t="n">
        <f aca="false">COUNTIFS(Tareas!$F$2:$F$135,A7,Tareas!$P$2:$P$135,"Hecha")</f>
        <v>0</v>
      </c>
      <c r="K7" s="9" t="n">
        <f aca="false">IF(F7=0,0,J7/F7)</f>
        <v>0</v>
      </c>
    </row>
    <row r="8" customFormat="false" ht="15" hidden="false" customHeight="false" outlineLevel="0" collapsed="false">
      <c r="A8" s="2" t="s">
        <v>387</v>
      </c>
      <c r="B8" s="2" t="s">
        <v>388</v>
      </c>
      <c r="C8" s="6" t="n">
        <f aca="false">COUNTIF(Historias!$D$2:$D$31,A8)</f>
        <v>4</v>
      </c>
      <c r="D8" s="6" t="n">
        <f aca="false">SUMIF(Historias!$D$2:$D$31,A8,Historias!$F$2:$F$31)</f>
        <v>8</v>
      </c>
      <c r="E8" s="6" t="n">
        <f aca="false">D8*$B$13</f>
        <v>16</v>
      </c>
      <c r="F8" s="6" t="n">
        <f aca="false">COUNTIF(Tareas!$F$2:$F$135,A8)</f>
        <v>15</v>
      </c>
      <c r="G8" s="6" t="n">
        <f aca="false">COUNTIFS(Tareas!$F$2:$F$135,A8,Tareas!$P$2:$P$135,"Pendiente")</f>
        <v>15</v>
      </c>
      <c r="H8" s="6" t="n">
        <f aca="false">COUNTIFS(Tareas!$F$2:$F$135,A8,Tareas!$P$2:$P$135,"En curso")</f>
        <v>0</v>
      </c>
      <c r="I8" s="6" t="n">
        <f aca="false">COUNTIFS(Tareas!$F$2:$F$135,A8,Tareas!$P$2:$P$135,"Bloqueada")</f>
        <v>0</v>
      </c>
      <c r="J8" s="6" t="n">
        <f aca="false">COUNTIFS(Tareas!$F$2:$F$135,A8,Tareas!$P$2:$P$135,"Hecha")</f>
        <v>0</v>
      </c>
      <c r="K8" s="9" t="n">
        <f aca="false">IF(F8=0,0,J8/F8)</f>
        <v>0</v>
      </c>
    </row>
    <row r="9" customFormat="false" ht="15" hidden="false" customHeight="false" outlineLevel="0" collapsed="false">
      <c r="A9" s="3" t="s">
        <v>594</v>
      </c>
      <c r="B9" s="3"/>
      <c r="C9" s="10" t="n">
        <f aca="false">SUM(C2:C8)</f>
        <v>30</v>
      </c>
      <c r="D9" s="10" t="n">
        <f aca="false">SUM(D2:D8)</f>
        <v>86</v>
      </c>
      <c r="E9" s="10" t="n">
        <f aca="false">SUM(E2:E8)</f>
        <v>172</v>
      </c>
      <c r="F9" s="10" t="n">
        <f aca="false">SUM(F2:F8)</f>
        <v>134</v>
      </c>
      <c r="G9" s="10" t="n">
        <f aca="false">SUM(G2:G8)</f>
        <v>134</v>
      </c>
      <c r="H9" s="10" t="n">
        <f aca="false">SUM(H2:H8)</f>
        <v>0</v>
      </c>
      <c r="I9" s="10" t="n">
        <f aca="false">SUM(I2:I8)</f>
        <v>0</v>
      </c>
      <c r="J9" s="10" t="n">
        <f aca="false">SUM(J2:J8)</f>
        <v>0</v>
      </c>
      <c r="K9" s="11" t="n">
        <f aca="false">IF(F9=0,0,J9/F9)</f>
        <v>0</v>
      </c>
    </row>
    <row r="12" customFormat="false" ht="15" hidden="false" customHeight="false" outlineLevel="0" collapsed="false">
      <c r="A12" s="12" t="s">
        <v>602</v>
      </c>
    </row>
    <row r="13" customFormat="false" ht="15" hidden="false" customHeight="false" outlineLevel="0" collapsed="false">
      <c r="A13" s="13" t="s">
        <v>603</v>
      </c>
      <c r="B13" s="14" t="n">
        <v>2</v>
      </c>
      <c r="C13" s="13" t="s">
        <v>604</v>
      </c>
    </row>
    <row r="14" customFormat="false" ht="15" hidden="false" customHeight="false" outlineLevel="0" collapsed="false">
      <c r="A14" s="13" t="s">
        <v>605</v>
      </c>
      <c r="B14" s="14" t="n">
        <v>18</v>
      </c>
      <c r="C14" s="13" t="s">
        <v>606</v>
      </c>
    </row>
    <row r="15" customFormat="false" ht="15" hidden="false" customHeight="false" outlineLevel="0" collapsed="false">
      <c r="A15" s="13" t="s">
        <v>607</v>
      </c>
      <c r="B15" s="6" t="n">
        <f aca="false">B14*COUNTA(A2:A8)</f>
        <v>126</v>
      </c>
    </row>
    <row r="16" customFormat="false" ht="15" hidden="false" customHeight="false" outlineLevel="0" collapsed="false">
      <c r="A16" s="13" t="s">
        <v>608</v>
      </c>
      <c r="B16" s="6" t="n">
        <f aca="false">E9</f>
        <v>172</v>
      </c>
    </row>
    <row r="17" customFormat="false" ht="15" hidden="false" customHeight="false" outlineLevel="0" collapsed="false">
      <c r="A17" s="13" t="s">
        <v>609</v>
      </c>
      <c r="B17" s="6" t="n">
        <f aca="false">B15-B16</f>
        <v>-46</v>
      </c>
    </row>
    <row r="18" customFormat="false" ht="15" hidden="false" customHeight="false" outlineLevel="0" collapsed="false">
      <c r="A18" s="15" t="s">
        <v>610</v>
      </c>
    </row>
  </sheetData>
  <conditionalFormatting sqref="E2:E8">
    <cfRule type="expression" priority="2" aboveAverage="0" equalAverage="0" bottom="0" percent="0" rank="0" text="" dxfId="7">
      <formula>E2&gt;$B$14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5" t="s">
        <v>381</v>
      </c>
      <c r="B1" s="5" t="s">
        <v>611</v>
      </c>
      <c r="C1" s="5" t="s">
        <v>596</v>
      </c>
      <c r="D1" s="5" t="s">
        <v>612</v>
      </c>
      <c r="E1" s="5" t="s">
        <v>613</v>
      </c>
    </row>
    <row r="2" customFormat="false" ht="15" hidden="false" customHeight="false" outlineLevel="0" collapsed="false">
      <c r="A2" s="2" t="s">
        <v>614</v>
      </c>
      <c r="B2" s="2" t="s">
        <v>70</v>
      </c>
      <c r="C2" s="2" t="s">
        <v>615</v>
      </c>
      <c r="D2" s="2" t="s">
        <v>387</v>
      </c>
      <c r="E2" s="2" t="s">
        <v>446</v>
      </c>
    </row>
    <row r="3" customFormat="false" ht="15" hidden="false" customHeight="false" outlineLevel="0" collapsed="false">
      <c r="A3" s="2" t="s">
        <v>616</v>
      </c>
      <c r="B3" s="2" t="s">
        <v>70</v>
      </c>
      <c r="C3" s="2" t="s">
        <v>617</v>
      </c>
      <c r="D3" s="2" t="s">
        <v>299</v>
      </c>
      <c r="E3" s="2" t="s">
        <v>141</v>
      </c>
    </row>
    <row r="4" customFormat="false" ht="15" hidden="false" customHeight="false" outlineLevel="0" collapsed="false">
      <c r="A4" s="2" t="s">
        <v>345</v>
      </c>
      <c r="B4" s="2" t="s">
        <v>70</v>
      </c>
      <c r="C4" s="2" t="s">
        <v>618</v>
      </c>
      <c r="D4" s="2" t="s">
        <v>92</v>
      </c>
      <c r="E4" s="2" t="s">
        <v>377</v>
      </c>
    </row>
    <row r="5" customFormat="false" ht="15" hidden="false" customHeight="false" outlineLevel="0" collapsed="false">
      <c r="A5" s="2" t="s">
        <v>67</v>
      </c>
      <c r="B5" s="2" t="s">
        <v>70</v>
      </c>
      <c r="C5" s="2" t="s">
        <v>619</v>
      </c>
      <c r="D5" s="2" t="s">
        <v>620</v>
      </c>
      <c r="E5" s="2" t="s">
        <v>141</v>
      </c>
    </row>
    <row r="6" customFormat="false" ht="15" hidden="false" customHeight="false" outlineLevel="0" collapsed="false">
      <c r="A6" s="2" t="s">
        <v>621</v>
      </c>
      <c r="B6" s="2" t="s">
        <v>488</v>
      </c>
      <c r="C6" s="2" t="s">
        <v>487</v>
      </c>
      <c r="D6" s="2" t="s">
        <v>462</v>
      </c>
      <c r="E6" s="2" t="s">
        <v>490</v>
      </c>
    </row>
    <row r="7" customFormat="false" ht="15" hidden="false" customHeight="false" outlineLevel="0" collapsed="false">
      <c r="A7" s="2" t="s">
        <v>622</v>
      </c>
      <c r="B7" s="2" t="s">
        <v>528</v>
      </c>
      <c r="C7" s="2" t="s">
        <v>524</v>
      </c>
      <c r="D7" s="2" t="s">
        <v>462</v>
      </c>
      <c r="E7" s="2" t="s">
        <v>532</v>
      </c>
    </row>
    <row r="8" customFormat="false" ht="15" hidden="false" customHeight="false" outlineLevel="0" collapsed="false">
      <c r="A8" s="2" t="s">
        <v>623</v>
      </c>
      <c r="B8" s="2" t="s">
        <v>452</v>
      </c>
      <c r="C8" s="2" t="s">
        <v>624</v>
      </c>
      <c r="D8" s="2" t="s">
        <v>63</v>
      </c>
      <c r="E8" s="2" t="s">
        <v>455</v>
      </c>
    </row>
    <row r="9" customFormat="false" ht="15" hidden="false" customHeight="false" outlineLevel="0" collapsed="false">
      <c r="A9" s="2" t="s">
        <v>625</v>
      </c>
      <c r="B9" s="2" t="s">
        <v>460</v>
      </c>
      <c r="C9" s="2" t="s">
        <v>459</v>
      </c>
      <c r="D9" s="2" t="s">
        <v>462</v>
      </c>
      <c r="E9" s="2" t="s">
        <v>464</v>
      </c>
    </row>
    <row r="10" customFormat="false" ht="15" hidden="false" customHeight="false" outlineLevel="0" collapsed="false">
      <c r="A10" s="2" t="s">
        <v>626</v>
      </c>
      <c r="B10" s="2" t="s">
        <v>477</v>
      </c>
      <c r="C10" s="2" t="s">
        <v>474</v>
      </c>
      <c r="D10" s="2" t="s">
        <v>299</v>
      </c>
      <c r="E10" s="2" t="s">
        <v>481</v>
      </c>
    </row>
    <row r="11" customFormat="false" ht="15" hidden="false" customHeight="false" outlineLevel="0" collapsed="false">
      <c r="A11" s="2" t="s">
        <v>627</v>
      </c>
      <c r="B11" s="2" t="s">
        <v>429</v>
      </c>
      <c r="C11" s="2" t="s">
        <v>425</v>
      </c>
      <c r="D11" s="2" t="s">
        <v>63</v>
      </c>
      <c r="E11" s="2" t="s">
        <v>442</v>
      </c>
    </row>
    <row r="12" customFormat="false" ht="15" hidden="false" customHeight="false" outlineLevel="0" collapsed="false">
      <c r="A12" s="2" t="s">
        <v>628</v>
      </c>
      <c r="B12" s="2" t="s">
        <v>501</v>
      </c>
      <c r="C12" s="2" t="s">
        <v>498</v>
      </c>
      <c r="D12" s="2" t="s">
        <v>92</v>
      </c>
      <c r="E12" s="2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40"/>
  </cols>
  <sheetData>
    <row r="1" customFormat="false" ht="31.5" hidden="false" customHeight="true" outlineLevel="0" collapsed="false">
      <c r="A1" s="5" t="s">
        <v>629</v>
      </c>
      <c r="B1" s="5" t="s">
        <v>565</v>
      </c>
      <c r="C1" s="5" t="s">
        <v>566</v>
      </c>
      <c r="D1" s="5" t="s">
        <v>25</v>
      </c>
      <c r="E1" s="5" t="s">
        <v>630</v>
      </c>
      <c r="F1" s="5" t="s">
        <v>15</v>
      </c>
      <c r="G1" s="5" t="s">
        <v>57</v>
      </c>
    </row>
    <row r="2" customFormat="false" ht="23.85" hidden="false" customHeight="false" outlineLevel="0" collapsed="false">
      <c r="A2" s="6" t="s">
        <v>631</v>
      </c>
      <c r="B2" s="2" t="s">
        <v>632</v>
      </c>
      <c r="C2" s="2" t="s">
        <v>633</v>
      </c>
      <c r="D2" s="6" t="n">
        <v>5</v>
      </c>
      <c r="E2" s="2" t="s">
        <v>634</v>
      </c>
      <c r="F2" s="2" t="s">
        <v>635</v>
      </c>
      <c r="G2" s="2"/>
    </row>
    <row r="3" customFormat="false" ht="23.85" hidden="false" customHeight="false" outlineLevel="0" collapsed="false">
      <c r="A3" s="6" t="s">
        <v>636</v>
      </c>
      <c r="B3" s="2" t="s">
        <v>637</v>
      </c>
      <c r="C3" s="2" t="s">
        <v>638</v>
      </c>
      <c r="D3" s="6" t="n">
        <v>5</v>
      </c>
      <c r="E3" s="2" t="s">
        <v>639</v>
      </c>
      <c r="F3" s="2" t="s">
        <v>640</v>
      </c>
      <c r="G3" s="2" t="s">
        <v>641</v>
      </c>
    </row>
    <row r="4" customFormat="false" ht="23.85" hidden="false" customHeight="false" outlineLevel="0" collapsed="false">
      <c r="A4" s="6" t="s">
        <v>642</v>
      </c>
      <c r="B4" s="2" t="s">
        <v>643</v>
      </c>
      <c r="C4" s="2" t="s">
        <v>582</v>
      </c>
      <c r="D4" s="6" t="n">
        <v>2</v>
      </c>
      <c r="E4" s="2" t="s">
        <v>70</v>
      </c>
      <c r="F4" s="2" t="s">
        <v>644</v>
      </c>
      <c r="G4" s="2" t="s">
        <v>645</v>
      </c>
    </row>
    <row r="5" customFormat="false" ht="15" hidden="false" customHeight="false" outlineLevel="0" collapsed="false">
      <c r="A5" s="6" t="s">
        <v>646</v>
      </c>
      <c r="B5" s="2" t="s">
        <v>647</v>
      </c>
      <c r="C5" s="2" t="s">
        <v>648</v>
      </c>
      <c r="D5" s="6" t="n">
        <v>3</v>
      </c>
      <c r="E5" s="2" t="s">
        <v>70</v>
      </c>
      <c r="F5" s="2" t="s">
        <v>211</v>
      </c>
      <c r="G5" s="2"/>
    </row>
    <row r="6" customFormat="false" ht="15" hidden="false" customHeight="false" outlineLevel="0" collapsed="false">
      <c r="A6" s="6" t="s">
        <v>649</v>
      </c>
      <c r="B6" s="2" t="s">
        <v>650</v>
      </c>
      <c r="C6" s="2" t="s">
        <v>593</v>
      </c>
      <c r="D6" s="6" t="n">
        <v>3</v>
      </c>
      <c r="E6" s="2" t="s">
        <v>70</v>
      </c>
      <c r="F6" s="2" t="s">
        <v>312</v>
      </c>
      <c r="G6" s="2"/>
    </row>
    <row r="7" customFormat="false" ht="15" hidden="false" customHeight="false" outlineLevel="0" collapsed="false">
      <c r="A7" s="6" t="s">
        <v>651</v>
      </c>
      <c r="B7" s="2" t="s">
        <v>652</v>
      </c>
      <c r="C7" s="2" t="s">
        <v>653</v>
      </c>
      <c r="D7" s="6" t="n">
        <v>3</v>
      </c>
      <c r="E7" s="2" t="s">
        <v>70</v>
      </c>
      <c r="F7" s="2" t="s">
        <v>654</v>
      </c>
      <c r="G7" s="2"/>
    </row>
    <row r="8" customFormat="false" ht="15" hidden="false" customHeight="false" outlineLevel="0" collapsed="false">
      <c r="A8" s="6" t="s">
        <v>655</v>
      </c>
      <c r="B8" s="2" t="s">
        <v>656</v>
      </c>
      <c r="C8" s="2" t="s">
        <v>657</v>
      </c>
      <c r="D8" s="6" t="n">
        <v>5</v>
      </c>
      <c r="E8" s="2" t="s">
        <v>70</v>
      </c>
      <c r="F8" s="2" t="s">
        <v>658</v>
      </c>
      <c r="G8" s="2"/>
    </row>
    <row r="9" customFormat="false" ht="15" hidden="false" customHeight="false" outlineLevel="0" collapsed="false">
      <c r="A9" s="6" t="s">
        <v>659</v>
      </c>
      <c r="B9" s="2" t="s">
        <v>660</v>
      </c>
      <c r="C9" s="2" t="s">
        <v>661</v>
      </c>
      <c r="D9" s="6" t="n">
        <v>5</v>
      </c>
      <c r="E9" s="2" t="s">
        <v>662</v>
      </c>
      <c r="F9" s="2" t="s">
        <v>663</v>
      </c>
      <c r="G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2026-09-30T19:07:56Z</dcterms:created>
  <dc:creator>openpyxl</dc:creator>
  <dc:description/>
  <dc:language>en-US</dc:language>
  <cp:lastModifiedBy/>
  <dcterms:modified xsi:type="dcterms:W3CDTF">2026-09-30T19:07:56Z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